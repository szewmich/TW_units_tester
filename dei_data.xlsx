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2780" windowHeight="7440"/>
  </bookViews>
  <sheets>
    <sheet name="DATA" sheetId="1" r:id="rId1"/>
    <sheet name="PERKS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G66" i="1"/>
  <c r="G67"/>
  <c r="G68"/>
  <c r="G69"/>
  <c r="G71"/>
  <c r="G72"/>
  <c r="G73"/>
</calcChain>
</file>

<file path=xl/sharedStrings.xml><?xml version="1.0" encoding="utf-8"?>
<sst xmlns="http://schemas.openxmlformats.org/spreadsheetml/2006/main" count="226" uniqueCount="108">
  <si>
    <t>name</t>
  </si>
  <si>
    <t>cost</t>
  </si>
  <si>
    <t>cat</t>
  </si>
  <si>
    <t>size</t>
  </si>
  <si>
    <t>MA</t>
  </si>
  <si>
    <t>MD</t>
  </si>
  <si>
    <t>CB</t>
  </si>
  <si>
    <t>bvINF</t>
  </si>
  <si>
    <t>MBC</t>
  </si>
  <si>
    <t>ammo</t>
  </si>
  <si>
    <t>ID</t>
  </si>
  <si>
    <t>inf</t>
  </si>
  <si>
    <t>ward</t>
  </si>
  <si>
    <t>phys_res</t>
  </si>
  <si>
    <t>mag_res</t>
  </si>
  <si>
    <t>fire_res</t>
  </si>
  <si>
    <t>fir_att</t>
  </si>
  <si>
    <t>mag_att</t>
  </si>
  <si>
    <t>frenzy</t>
  </si>
  <si>
    <t>CD</t>
  </si>
  <si>
    <t>str_in_numbers</t>
  </si>
  <si>
    <t>active_effects</t>
  </si>
  <si>
    <t>costam</t>
  </si>
  <si>
    <t>perks</t>
  </si>
  <si>
    <t>cloud_of_flies</t>
  </si>
  <si>
    <t>korozja</t>
  </si>
  <si>
    <t>name_native</t>
  </si>
  <si>
    <t xml:space="preserve">Kares Pezoi              </t>
  </si>
  <si>
    <t xml:space="preserve">Kluddargos               </t>
  </si>
  <si>
    <t xml:space="preserve">Tegeslougos              </t>
  </si>
  <si>
    <t xml:space="preserve">Pictone neitos           </t>
  </si>
  <si>
    <t xml:space="preserve">Ambaktoi                 </t>
  </si>
  <si>
    <t xml:space="preserve">Mauryan axemen           </t>
  </si>
  <si>
    <t xml:space="preserve">Thureophoroi             </t>
  </si>
  <si>
    <t xml:space="preserve">Kafkasos Doriphoroi      </t>
  </si>
  <si>
    <t xml:space="preserve">Euzonoi                  </t>
  </si>
  <si>
    <t xml:space="preserve">Thureophoroi Euzonoi     </t>
  </si>
  <si>
    <t xml:space="preserve">Leukaspides Makedoni     </t>
  </si>
  <si>
    <t>Bactrian Ass. Inf. (Late)</t>
  </si>
  <si>
    <t xml:space="preserve">Armenian Highlanders     </t>
  </si>
  <si>
    <t xml:space="preserve">Mauryan Allied Swodsmen  </t>
  </si>
  <si>
    <t xml:space="preserve">Epilektoi Sicaphoroi     </t>
  </si>
  <si>
    <t xml:space="preserve">Iberi Caetrati           </t>
  </si>
  <si>
    <t xml:space="preserve">Parthian Axemen          </t>
  </si>
  <si>
    <t xml:space="preserve">Parthian Men-at-Arms     </t>
  </si>
  <si>
    <t xml:space="preserve">Iranian Thureophoroi     </t>
  </si>
  <si>
    <t xml:space="preserve">Liby-Phoenic Thureos Inf </t>
  </si>
  <si>
    <t>Liby-Phoenic Thureos Spea</t>
  </si>
  <si>
    <t xml:space="preserve">Pontikoi Thureophoroi    </t>
  </si>
  <si>
    <t>Caledonian Retainer Sword</t>
  </si>
  <si>
    <t xml:space="preserve">Britannic Guard Spear    </t>
  </si>
  <si>
    <t xml:space="preserve">Melophoroi               </t>
  </si>
  <si>
    <t xml:space="preserve">Sparabara                </t>
  </si>
  <si>
    <t>Lusitani Veteran Spearmen</t>
  </si>
  <si>
    <t xml:space="preserve">Boii Noble Spearmen      </t>
  </si>
  <si>
    <t xml:space="preserve">Boii Axemen              </t>
  </si>
  <si>
    <t xml:space="preserve">Principes (Early)        </t>
  </si>
  <si>
    <t xml:space="preserve">Agrianoi Peltastai       </t>
  </si>
  <si>
    <t xml:space="preserve">Agrianikoi Pelekophoroi  </t>
  </si>
  <si>
    <t xml:space="preserve">Vasci Shock Spears       </t>
  </si>
  <si>
    <t xml:space="preserve">Drapanai Epilektoi       </t>
  </si>
  <si>
    <t>Meroitic Shotel Swordsmen</t>
  </si>
  <si>
    <t xml:space="preserve"> inf</t>
  </si>
  <si>
    <t>Shield bearers</t>
  </si>
  <si>
    <t>Liby-Phoenic Thureos Infantry</t>
  </si>
  <si>
    <t>Liby-Phoenic Thureos Spears</t>
  </si>
  <si>
    <t>Bactrian Assault Infantry (Late)</t>
  </si>
  <si>
    <t>Daylami Heavy Infantry</t>
  </si>
  <si>
    <t>Gond-I Shahanshah</t>
  </si>
  <si>
    <t>Persian Elite Infantry</t>
  </si>
  <si>
    <t>Poy-Darsam</t>
  </si>
  <si>
    <t>Atropatene Thureophoroi</t>
  </si>
  <si>
    <t>Persian Apple-Bearers</t>
  </si>
  <si>
    <t>Thraco-Illyrian Elite infantry</t>
  </si>
  <si>
    <t>Dardanioi Epilektoi</t>
  </si>
  <si>
    <t>Illyrian Elite Sica Bearers</t>
  </si>
  <si>
    <t>Dardanioi Epilektoi Sicaphoroi</t>
  </si>
  <si>
    <t>Galatai Thorakitai</t>
  </si>
  <si>
    <t>Galatian Thorax Infantry</t>
  </si>
  <si>
    <t>Late Rhomphaia Warriors</t>
  </si>
  <si>
    <t>Thrakioi Rhomphaiaphoroi</t>
  </si>
  <si>
    <t>Nakharar Thorax Infantry</t>
  </si>
  <si>
    <t>Scordisci Elite Swordsmen</t>
  </si>
  <si>
    <t>Galatian Axemen</t>
  </si>
  <si>
    <t>Galatian naked warriors</t>
  </si>
  <si>
    <t>Principes (Late)</t>
  </si>
  <si>
    <t>Late Thracian infantry</t>
  </si>
  <si>
    <t>Toog Kugur</t>
  </si>
  <si>
    <t>Meroitic Macemen</t>
  </si>
  <si>
    <t>Javelins</t>
  </si>
  <si>
    <t>hp</t>
  </si>
  <si>
    <t>armour</t>
  </si>
  <si>
    <t>dmg_base</t>
  </si>
  <si>
    <t>dmg_ap</t>
  </si>
  <si>
    <t>Agrianoi Peltastai</t>
  </si>
  <si>
    <t>missile_dmg_base</t>
  </si>
  <si>
    <t>missile_dmg_ap</t>
  </si>
  <si>
    <t>encouraged</t>
  </si>
  <si>
    <t>Pergamene Elite Peltasts</t>
  </si>
  <si>
    <t>Pergamoi Epilektoi Peltastai</t>
  </si>
  <si>
    <t>Armazi Heavy Infantry</t>
  </si>
  <si>
    <t>Western Georgian Infantry</t>
  </si>
  <si>
    <t>Armazis Dacva (Early)</t>
  </si>
  <si>
    <t>Georgikoi Machairaphoroi</t>
  </si>
  <si>
    <t>bvCAV</t>
  </si>
  <si>
    <t>Agrianian Axemen</t>
  </si>
  <si>
    <t>Agrianian Peltasts</t>
  </si>
  <si>
    <t>Faction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</si>
</sst>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2"/>
  <sheetViews>
    <sheetView tabSelected="1" workbookViewId="0">
      <pane ySplit="1" topLeftCell="A83" activePane="bottomLeft" state="frozen"/>
      <selection pane="bottomLeft" activeCell="F112" sqref="F112"/>
    </sheetView>
  </sheetViews>
  <sheetFormatPr defaultRowHeight="15"/>
  <cols>
    <col min="1" max="2" width="15" style="1" customWidth="1"/>
    <col min="3" max="3" width="25.875" style="1" customWidth="1"/>
    <col min="4" max="7" width="9" style="1"/>
    <col min="8" max="8" width="9" style="1" customWidth="1"/>
    <col min="9" max="9" width="12.25" style="1" customWidth="1"/>
    <col min="10" max="10" width="13.375" style="1" customWidth="1"/>
    <col min="11" max="13" width="9" style="1"/>
    <col min="14" max="14" width="11.75" style="1" customWidth="1"/>
    <col min="15" max="20" width="9" style="1"/>
    <col min="21" max="21" width="9.25" style="1" customWidth="1"/>
    <col min="22" max="22" width="8.125" style="1" customWidth="1"/>
    <col min="23" max="26" width="9" style="1" customWidth="1"/>
    <col min="27" max="27" width="20" style="1" customWidth="1"/>
    <col min="28" max="28" width="16.75" style="1" customWidth="1"/>
    <col min="29" max="16384" width="9" style="1"/>
  </cols>
  <sheetData>
    <row r="1" spans="1:29">
      <c r="A1" s="1" t="s">
        <v>10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90</v>
      </c>
      <c r="H1" s="1" t="s">
        <v>19</v>
      </c>
      <c r="I1" s="1" t="s">
        <v>23</v>
      </c>
      <c r="J1" s="1" t="s">
        <v>21</v>
      </c>
      <c r="K1" s="1" t="s">
        <v>4</v>
      </c>
      <c r="L1" s="1" t="s">
        <v>5</v>
      </c>
      <c r="M1" s="1" t="s">
        <v>91</v>
      </c>
      <c r="N1" s="1" t="s">
        <v>92</v>
      </c>
      <c r="O1" s="1" t="s">
        <v>93</v>
      </c>
      <c r="P1" s="1" t="s">
        <v>6</v>
      </c>
      <c r="Q1" s="1" t="s">
        <v>104</v>
      </c>
      <c r="R1" s="1" t="s">
        <v>7</v>
      </c>
      <c r="S1" s="1" t="s">
        <v>8</v>
      </c>
      <c r="T1" s="1" t="s">
        <v>9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95</v>
      </c>
      <c r="AB1" s="1" t="s">
        <v>96</v>
      </c>
      <c r="AC1" s="1" t="s">
        <v>26</v>
      </c>
    </row>
    <row r="2" spans="1:29">
      <c r="A2" s="1">
        <v>3</v>
      </c>
      <c r="C2" s="1" t="s">
        <v>27</v>
      </c>
      <c r="D2" s="1">
        <v>1000</v>
      </c>
      <c r="E2" s="1" t="s">
        <v>62</v>
      </c>
      <c r="F2" s="1">
        <v>300</v>
      </c>
      <c r="G2" s="1">
        <v>18000</v>
      </c>
      <c r="H2" s="1">
        <v>0</v>
      </c>
      <c r="K2" s="1">
        <v>11</v>
      </c>
      <c r="L2" s="1">
        <v>9</v>
      </c>
      <c r="M2" s="1">
        <v>20</v>
      </c>
      <c r="N2" s="1">
        <v>19</v>
      </c>
      <c r="O2" s="1">
        <v>14</v>
      </c>
      <c r="P2" s="1">
        <v>15</v>
      </c>
      <c r="Q2" s="1">
        <v>0</v>
      </c>
      <c r="R2" s="1">
        <v>0</v>
      </c>
      <c r="S2" s="1">
        <v>0.7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15</v>
      </c>
      <c r="AB2" s="1">
        <v>7</v>
      </c>
    </row>
    <row r="3" spans="1:29">
      <c r="A3" s="1">
        <v>4</v>
      </c>
      <c r="C3" s="1" t="s">
        <v>28</v>
      </c>
      <c r="D3" s="1">
        <v>1000</v>
      </c>
      <c r="E3" s="1" t="s">
        <v>62</v>
      </c>
      <c r="F3" s="1">
        <v>200</v>
      </c>
      <c r="G3" s="1">
        <v>12000</v>
      </c>
      <c r="H3" s="1">
        <v>0</v>
      </c>
      <c r="K3" s="1">
        <v>17</v>
      </c>
      <c r="L3" s="1">
        <v>5</v>
      </c>
      <c r="M3" s="1">
        <v>30</v>
      </c>
      <c r="N3" s="1">
        <v>25</v>
      </c>
      <c r="O3" s="1">
        <v>13</v>
      </c>
      <c r="P3" s="1">
        <v>36</v>
      </c>
      <c r="Q3" s="1">
        <v>0</v>
      </c>
      <c r="R3" s="1">
        <v>1</v>
      </c>
      <c r="S3" s="1">
        <v>0.7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15</v>
      </c>
      <c r="AB3" s="1">
        <v>7</v>
      </c>
    </row>
    <row r="4" spans="1:29">
      <c r="A4" s="1">
        <v>5</v>
      </c>
      <c r="C4" s="1" t="s">
        <v>29</v>
      </c>
      <c r="D4" s="1">
        <v>1500</v>
      </c>
      <c r="E4" s="1" t="s">
        <v>62</v>
      </c>
      <c r="F4" s="1">
        <v>200</v>
      </c>
      <c r="G4" s="1">
        <v>12000</v>
      </c>
      <c r="H4" s="1">
        <v>0</v>
      </c>
      <c r="K4" s="1">
        <v>15</v>
      </c>
      <c r="L4" s="1">
        <v>12</v>
      </c>
      <c r="M4" s="1">
        <v>35</v>
      </c>
      <c r="N4" s="1">
        <v>30</v>
      </c>
      <c r="O4" s="1">
        <v>2</v>
      </c>
      <c r="P4" s="1">
        <v>21</v>
      </c>
      <c r="Q4" s="1">
        <v>0</v>
      </c>
      <c r="R4" s="1">
        <v>1</v>
      </c>
      <c r="S4" s="1">
        <v>0.7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15</v>
      </c>
      <c r="AB4" s="1">
        <v>7</v>
      </c>
    </row>
    <row r="5" spans="1:29">
      <c r="A5" s="1">
        <v>6</v>
      </c>
      <c r="C5" s="1" t="s">
        <v>30</v>
      </c>
      <c r="D5" s="1">
        <v>1000</v>
      </c>
      <c r="E5" s="1" t="s">
        <v>62</v>
      </c>
      <c r="F5" s="1">
        <v>300</v>
      </c>
      <c r="G5" s="1">
        <v>18000</v>
      </c>
      <c r="H5" s="1">
        <v>0</v>
      </c>
      <c r="K5" s="1">
        <v>7</v>
      </c>
      <c r="L5" s="1">
        <v>9</v>
      </c>
      <c r="M5" s="1">
        <v>1</v>
      </c>
      <c r="N5" s="1">
        <v>18</v>
      </c>
      <c r="O5" s="1">
        <v>13</v>
      </c>
      <c r="P5" s="1">
        <v>26</v>
      </c>
      <c r="Q5" s="1">
        <v>0</v>
      </c>
      <c r="R5" s="1">
        <v>2</v>
      </c>
      <c r="S5" s="1">
        <v>0.7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15</v>
      </c>
      <c r="AB5" s="1">
        <v>7</v>
      </c>
    </row>
    <row r="6" spans="1:29">
      <c r="A6" s="1">
        <v>7</v>
      </c>
      <c r="C6" s="1" t="s">
        <v>31</v>
      </c>
      <c r="D6" s="1">
        <v>1000</v>
      </c>
      <c r="E6" s="1" t="s">
        <v>62</v>
      </c>
      <c r="F6" s="1">
        <v>300</v>
      </c>
      <c r="G6" s="1">
        <v>18000</v>
      </c>
      <c r="H6" s="1">
        <v>0</v>
      </c>
      <c r="K6" s="1">
        <v>7</v>
      </c>
      <c r="L6" s="1">
        <v>17</v>
      </c>
      <c r="M6" s="1">
        <v>15</v>
      </c>
      <c r="N6" s="1">
        <v>22</v>
      </c>
      <c r="O6" s="1">
        <v>4</v>
      </c>
      <c r="P6" s="1">
        <v>18</v>
      </c>
      <c r="Q6" s="1">
        <v>0</v>
      </c>
      <c r="R6" s="1">
        <v>0</v>
      </c>
      <c r="S6" s="1">
        <v>0.7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15</v>
      </c>
      <c r="AB6" s="1">
        <v>7</v>
      </c>
    </row>
    <row r="7" spans="1:29">
      <c r="A7" s="1">
        <v>8</v>
      </c>
      <c r="C7" s="1" t="s">
        <v>32</v>
      </c>
      <c r="D7" s="1">
        <v>610</v>
      </c>
      <c r="E7" s="1" t="s">
        <v>62</v>
      </c>
      <c r="F7" s="1">
        <v>300</v>
      </c>
      <c r="G7" s="1">
        <v>18000</v>
      </c>
      <c r="H7" s="1">
        <v>0</v>
      </c>
      <c r="K7" s="1">
        <v>14</v>
      </c>
      <c r="L7" s="1">
        <v>3</v>
      </c>
      <c r="M7" s="1">
        <v>8</v>
      </c>
      <c r="N7" s="1">
        <v>25</v>
      </c>
      <c r="O7" s="1">
        <v>9</v>
      </c>
      <c r="P7" s="1">
        <v>31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15</v>
      </c>
      <c r="AB7" s="1">
        <v>7</v>
      </c>
    </row>
    <row r="8" spans="1:29">
      <c r="A8" s="1">
        <v>9</v>
      </c>
      <c r="C8" s="1" t="s">
        <v>33</v>
      </c>
      <c r="D8" s="1">
        <v>895</v>
      </c>
      <c r="E8" s="1" t="s">
        <v>62</v>
      </c>
      <c r="F8" s="1">
        <v>300</v>
      </c>
      <c r="G8" s="1">
        <v>18000</v>
      </c>
      <c r="H8" s="1">
        <v>0</v>
      </c>
      <c r="K8" s="1">
        <v>7</v>
      </c>
      <c r="L8" s="1">
        <v>17</v>
      </c>
      <c r="M8" s="1">
        <v>20</v>
      </c>
      <c r="N8" s="1">
        <v>22</v>
      </c>
      <c r="O8" s="1">
        <v>4</v>
      </c>
      <c r="P8" s="1">
        <v>18</v>
      </c>
      <c r="Q8" s="1">
        <v>0</v>
      </c>
      <c r="R8" s="1">
        <v>0</v>
      </c>
      <c r="S8" s="1">
        <v>0.7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15</v>
      </c>
      <c r="AB8" s="1">
        <v>7</v>
      </c>
    </row>
    <row r="9" spans="1:29">
      <c r="A9" s="1">
        <v>10</v>
      </c>
      <c r="C9" s="1" t="s">
        <v>34</v>
      </c>
      <c r="D9" s="1">
        <v>1000</v>
      </c>
      <c r="E9" s="1" t="s">
        <v>62</v>
      </c>
      <c r="F9" s="1">
        <v>300</v>
      </c>
      <c r="G9" s="1">
        <v>18000</v>
      </c>
      <c r="H9" s="1">
        <v>0</v>
      </c>
      <c r="K9" s="1">
        <v>6</v>
      </c>
      <c r="L9" s="1">
        <v>12</v>
      </c>
      <c r="M9" s="1">
        <v>15</v>
      </c>
      <c r="N9" s="1">
        <v>20</v>
      </c>
      <c r="O9" s="1">
        <v>3</v>
      </c>
      <c r="P9" s="1">
        <v>16</v>
      </c>
      <c r="Q9" s="1">
        <v>0</v>
      </c>
      <c r="R9" s="1">
        <v>0</v>
      </c>
      <c r="S9" s="1">
        <v>0.7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15</v>
      </c>
      <c r="AB9" s="1">
        <v>7</v>
      </c>
    </row>
    <row r="10" spans="1:29">
      <c r="A10" s="1">
        <v>11</v>
      </c>
      <c r="C10" s="1" t="s">
        <v>35</v>
      </c>
      <c r="D10" s="1">
        <v>585</v>
      </c>
      <c r="E10" s="1" t="s">
        <v>62</v>
      </c>
      <c r="F10" s="1">
        <v>300</v>
      </c>
      <c r="G10" s="1">
        <v>18000</v>
      </c>
      <c r="H10" s="1">
        <v>0</v>
      </c>
      <c r="K10" s="1">
        <v>8</v>
      </c>
      <c r="L10" s="1">
        <v>11</v>
      </c>
      <c r="M10" s="1">
        <v>8</v>
      </c>
      <c r="N10" s="1">
        <v>21</v>
      </c>
      <c r="O10" s="1">
        <v>2</v>
      </c>
      <c r="P10" s="1">
        <v>12</v>
      </c>
      <c r="Q10" s="1">
        <v>0</v>
      </c>
      <c r="R10" s="1">
        <v>2</v>
      </c>
      <c r="S10" s="1">
        <v>0.7</v>
      </c>
      <c r="T10" s="1">
        <v>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15</v>
      </c>
      <c r="AB10" s="1">
        <v>7</v>
      </c>
    </row>
    <row r="11" spans="1:29">
      <c r="A11" s="1">
        <v>12</v>
      </c>
      <c r="C11" s="1" t="s">
        <v>36</v>
      </c>
      <c r="D11" s="1">
        <v>1000</v>
      </c>
      <c r="E11" s="1" t="s">
        <v>62</v>
      </c>
      <c r="F11" s="1">
        <v>300</v>
      </c>
      <c r="G11" s="1">
        <v>18000</v>
      </c>
      <c r="H11" s="1">
        <v>0</v>
      </c>
      <c r="K11" s="1">
        <v>9</v>
      </c>
      <c r="L11" s="1">
        <v>14</v>
      </c>
      <c r="M11" s="1">
        <v>8</v>
      </c>
      <c r="N11" s="1">
        <v>23</v>
      </c>
      <c r="O11" s="1">
        <v>3</v>
      </c>
      <c r="P11" s="1">
        <v>13</v>
      </c>
      <c r="Q11" s="1">
        <v>0</v>
      </c>
      <c r="R11" s="1">
        <v>2</v>
      </c>
      <c r="S11" s="1">
        <v>0.7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15</v>
      </c>
      <c r="AB11" s="1">
        <v>7</v>
      </c>
    </row>
    <row r="12" spans="1:29">
      <c r="A12" s="1">
        <v>13</v>
      </c>
      <c r="C12" s="1" t="s">
        <v>37</v>
      </c>
      <c r="D12" s="1">
        <v>1000</v>
      </c>
      <c r="E12" s="1" t="s">
        <v>62</v>
      </c>
      <c r="F12" s="1">
        <v>300</v>
      </c>
      <c r="G12" s="1">
        <v>18000</v>
      </c>
      <c r="H12" s="1">
        <v>0</v>
      </c>
      <c r="K12" s="1">
        <v>9</v>
      </c>
      <c r="L12" s="1">
        <v>9</v>
      </c>
      <c r="M12" s="1">
        <v>10</v>
      </c>
      <c r="N12" s="1">
        <v>21</v>
      </c>
      <c r="O12" s="1">
        <v>7</v>
      </c>
      <c r="P12" s="1">
        <v>21</v>
      </c>
      <c r="Q12" s="1">
        <v>0</v>
      </c>
      <c r="R12" s="1">
        <v>2</v>
      </c>
      <c r="S12" s="1">
        <v>0.7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15</v>
      </c>
      <c r="AB12" s="1">
        <v>7</v>
      </c>
    </row>
    <row r="13" spans="1:29">
      <c r="A13" s="1">
        <v>14</v>
      </c>
      <c r="C13" s="1" t="s">
        <v>66</v>
      </c>
      <c r="D13" s="1">
        <v>910</v>
      </c>
      <c r="E13" s="1" t="s">
        <v>62</v>
      </c>
      <c r="F13" s="1">
        <v>300</v>
      </c>
      <c r="G13" s="1">
        <v>18000</v>
      </c>
      <c r="H13" s="1">
        <v>0</v>
      </c>
      <c r="K13" s="1">
        <v>11</v>
      </c>
      <c r="L13" s="1">
        <v>9</v>
      </c>
      <c r="M13" s="1">
        <v>15</v>
      </c>
      <c r="N13" s="1">
        <v>23</v>
      </c>
      <c r="O13" s="1">
        <v>7</v>
      </c>
      <c r="P13" s="1">
        <v>22</v>
      </c>
      <c r="Q13" s="1">
        <v>0</v>
      </c>
      <c r="R13" s="1">
        <v>2</v>
      </c>
      <c r="S13" s="1">
        <v>0.7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15</v>
      </c>
      <c r="AB13" s="1">
        <v>7</v>
      </c>
    </row>
    <row r="14" spans="1:29">
      <c r="A14" s="1">
        <v>15</v>
      </c>
      <c r="C14" s="1" t="s">
        <v>39</v>
      </c>
      <c r="D14" s="1">
        <v>585</v>
      </c>
      <c r="E14" s="1" t="s">
        <v>62</v>
      </c>
      <c r="F14" s="1">
        <v>300</v>
      </c>
      <c r="G14" s="1">
        <v>18000</v>
      </c>
      <c r="H14" s="1">
        <v>0</v>
      </c>
      <c r="K14" s="1">
        <v>7</v>
      </c>
      <c r="L14" s="1">
        <v>7</v>
      </c>
      <c r="M14" s="1">
        <v>8</v>
      </c>
      <c r="N14" s="1">
        <v>18</v>
      </c>
      <c r="O14" s="1">
        <v>3</v>
      </c>
      <c r="P14" s="1">
        <v>26</v>
      </c>
      <c r="Q14" s="1">
        <v>0</v>
      </c>
      <c r="R14" s="1">
        <v>2</v>
      </c>
      <c r="S14" s="1">
        <v>0.7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15</v>
      </c>
      <c r="AB14" s="1">
        <v>7</v>
      </c>
    </row>
    <row r="15" spans="1:29">
      <c r="A15" s="1">
        <v>16</v>
      </c>
      <c r="C15" s="1" t="s">
        <v>40</v>
      </c>
      <c r="D15" s="1">
        <v>835</v>
      </c>
      <c r="E15" s="1" t="s">
        <v>62</v>
      </c>
      <c r="F15" s="1">
        <v>200</v>
      </c>
      <c r="G15" s="1">
        <v>12000</v>
      </c>
      <c r="H15" s="1">
        <v>0</v>
      </c>
      <c r="K15" s="1">
        <v>11</v>
      </c>
      <c r="L15" s="1">
        <v>9</v>
      </c>
      <c r="M15" s="1">
        <v>15</v>
      </c>
      <c r="N15" s="1">
        <v>23</v>
      </c>
      <c r="O15" s="1">
        <v>7</v>
      </c>
      <c r="P15" s="1">
        <v>22</v>
      </c>
      <c r="Q15" s="1">
        <v>0</v>
      </c>
      <c r="R15" s="1">
        <v>2</v>
      </c>
      <c r="S15" s="1">
        <v>0.7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15</v>
      </c>
      <c r="AB15" s="1">
        <v>7</v>
      </c>
    </row>
    <row r="16" spans="1:29">
      <c r="A16" s="1">
        <v>17</v>
      </c>
      <c r="C16" s="1" t="s">
        <v>41</v>
      </c>
      <c r="D16" s="1">
        <v>985</v>
      </c>
      <c r="E16" s="1" t="s">
        <v>62</v>
      </c>
      <c r="F16" s="1">
        <v>300</v>
      </c>
      <c r="G16" s="1">
        <v>18000</v>
      </c>
      <c r="H16" s="1">
        <v>0</v>
      </c>
      <c r="K16" s="1">
        <v>11</v>
      </c>
      <c r="L16" s="1">
        <v>10</v>
      </c>
      <c r="M16" s="1">
        <v>15</v>
      </c>
      <c r="N16" s="1">
        <v>23</v>
      </c>
      <c r="O16" s="1">
        <v>7</v>
      </c>
      <c r="P16" s="1">
        <v>22</v>
      </c>
      <c r="Q16" s="1">
        <v>0</v>
      </c>
      <c r="R16" s="1">
        <v>2</v>
      </c>
      <c r="S16" s="1">
        <v>0.7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15</v>
      </c>
      <c r="AB16" s="1">
        <v>7</v>
      </c>
    </row>
    <row r="17" spans="1:29">
      <c r="A17" s="1">
        <v>18</v>
      </c>
      <c r="C17" s="1" t="s">
        <v>42</v>
      </c>
      <c r="D17" s="1">
        <v>675</v>
      </c>
      <c r="E17" s="1" t="s">
        <v>62</v>
      </c>
      <c r="F17" s="1">
        <v>300</v>
      </c>
      <c r="G17" s="1">
        <v>18000</v>
      </c>
      <c r="H17" s="1">
        <v>0</v>
      </c>
      <c r="K17" s="1">
        <v>12</v>
      </c>
      <c r="L17" s="1">
        <v>6</v>
      </c>
      <c r="M17" s="1">
        <v>10</v>
      </c>
      <c r="N17" s="1">
        <v>23</v>
      </c>
      <c r="O17" s="1">
        <v>3</v>
      </c>
      <c r="P17" s="1">
        <v>15</v>
      </c>
      <c r="Q17" s="1">
        <v>0</v>
      </c>
      <c r="R17" s="1">
        <v>0</v>
      </c>
      <c r="S17" s="1">
        <v>0.7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15</v>
      </c>
      <c r="AB17" s="1">
        <v>7</v>
      </c>
    </row>
    <row r="18" spans="1:29">
      <c r="A18" s="1">
        <v>19</v>
      </c>
      <c r="C18" s="1" t="s">
        <v>43</v>
      </c>
      <c r="D18" s="1">
        <v>870</v>
      </c>
      <c r="E18" s="1" t="s">
        <v>62</v>
      </c>
      <c r="F18" s="1">
        <v>300</v>
      </c>
      <c r="G18" s="1">
        <v>18000</v>
      </c>
      <c r="H18" s="1">
        <v>0</v>
      </c>
      <c r="K18" s="1">
        <v>7</v>
      </c>
      <c r="L18" s="1">
        <v>10</v>
      </c>
      <c r="M18" s="1">
        <v>20</v>
      </c>
      <c r="N18" s="1">
        <v>18</v>
      </c>
      <c r="O18" s="1">
        <v>13</v>
      </c>
      <c r="P18" s="1">
        <v>26</v>
      </c>
      <c r="Q18" s="1">
        <v>0</v>
      </c>
      <c r="R18" s="1">
        <v>2</v>
      </c>
      <c r="S18" s="1">
        <v>0.7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15</v>
      </c>
      <c r="AB18" s="1">
        <v>7</v>
      </c>
    </row>
    <row r="19" spans="1:29">
      <c r="A19" s="1">
        <v>20</v>
      </c>
      <c r="C19" s="1" t="s">
        <v>44</v>
      </c>
      <c r="D19" s="1">
        <v>1150</v>
      </c>
      <c r="E19" s="1" t="s">
        <v>62</v>
      </c>
      <c r="F19" s="1">
        <v>200</v>
      </c>
      <c r="G19" s="1">
        <v>12000</v>
      </c>
      <c r="H19" s="1">
        <v>0</v>
      </c>
      <c r="K19" s="1">
        <v>9</v>
      </c>
      <c r="L19" s="1">
        <v>10</v>
      </c>
      <c r="M19" s="1">
        <v>30</v>
      </c>
      <c r="N19" s="1">
        <v>19</v>
      </c>
      <c r="O19" s="1">
        <v>14</v>
      </c>
      <c r="P19" s="1">
        <v>28</v>
      </c>
      <c r="Q19" s="1">
        <v>0</v>
      </c>
      <c r="R19" s="1">
        <v>2</v>
      </c>
      <c r="S19" s="1">
        <v>0.7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15</v>
      </c>
      <c r="AB19" s="1">
        <v>7</v>
      </c>
    </row>
    <row r="20" spans="1:29">
      <c r="A20" s="1">
        <v>21</v>
      </c>
      <c r="Q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15</v>
      </c>
      <c r="AB20" s="1">
        <v>7</v>
      </c>
    </row>
    <row r="21" spans="1:29">
      <c r="A21" s="1">
        <v>22</v>
      </c>
      <c r="C21" s="1" t="s">
        <v>64</v>
      </c>
      <c r="D21" s="1">
        <v>1075</v>
      </c>
      <c r="E21" s="1" t="s">
        <v>62</v>
      </c>
      <c r="F21" s="1">
        <v>300</v>
      </c>
      <c r="G21" s="1">
        <v>18000</v>
      </c>
      <c r="H21" s="1">
        <v>0</v>
      </c>
      <c r="K21" s="1">
        <v>9</v>
      </c>
      <c r="L21" s="1">
        <v>14</v>
      </c>
      <c r="M21" s="1">
        <v>30</v>
      </c>
      <c r="N21" s="1">
        <v>23</v>
      </c>
      <c r="O21" s="1">
        <v>3</v>
      </c>
      <c r="P21" s="1">
        <v>13</v>
      </c>
      <c r="Q21" s="1">
        <v>0</v>
      </c>
      <c r="R21" s="1">
        <v>2</v>
      </c>
      <c r="S21" s="1">
        <v>0.7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15</v>
      </c>
      <c r="AB21" s="1">
        <v>7</v>
      </c>
    </row>
    <row r="22" spans="1:29">
      <c r="A22" s="1">
        <v>23</v>
      </c>
      <c r="C22" s="1" t="s">
        <v>65</v>
      </c>
      <c r="D22" s="1">
        <v>1075</v>
      </c>
      <c r="E22" s="1" t="s">
        <v>62</v>
      </c>
      <c r="F22" s="1">
        <v>300</v>
      </c>
      <c r="G22" s="1">
        <v>18000</v>
      </c>
      <c r="H22" s="1">
        <v>0</v>
      </c>
      <c r="K22" s="1">
        <v>7</v>
      </c>
      <c r="L22" s="1">
        <v>17</v>
      </c>
      <c r="M22" s="1">
        <v>30</v>
      </c>
      <c r="N22" s="1">
        <v>22</v>
      </c>
      <c r="O22" s="1">
        <v>4</v>
      </c>
      <c r="P22" s="1">
        <v>18</v>
      </c>
      <c r="Q22" s="1">
        <v>0</v>
      </c>
      <c r="R22" s="1">
        <v>0</v>
      </c>
      <c r="S22" s="1">
        <v>0.7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15</v>
      </c>
      <c r="AB22" s="1">
        <v>7</v>
      </c>
    </row>
    <row r="23" spans="1:29">
      <c r="A23" s="1">
        <v>24</v>
      </c>
      <c r="C23" s="1" t="s">
        <v>48</v>
      </c>
      <c r="D23" s="1">
        <v>870</v>
      </c>
      <c r="E23" s="1" t="s">
        <v>62</v>
      </c>
      <c r="F23" s="1">
        <v>300</v>
      </c>
      <c r="G23" s="1">
        <v>18000</v>
      </c>
      <c r="H23" s="1">
        <v>0</v>
      </c>
      <c r="K23" s="1">
        <v>9</v>
      </c>
      <c r="L23" s="1">
        <v>14</v>
      </c>
      <c r="M23" s="1">
        <v>20</v>
      </c>
      <c r="N23" s="1">
        <v>23</v>
      </c>
      <c r="O23" s="1">
        <v>3</v>
      </c>
      <c r="P23" s="1">
        <v>13</v>
      </c>
      <c r="Q23" s="1">
        <v>0</v>
      </c>
      <c r="R23" s="1">
        <v>2</v>
      </c>
      <c r="S23" s="1">
        <v>0.7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15</v>
      </c>
      <c r="AB23" s="1">
        <v>7</v>
      </c>
    </row>
    <row r="24" spans="1:29">
      <c r="A24" s="1">
        <v>25</v>
      </c>
      <c r="C24" s="1" t="s">
        <v>49</v>
      </c>
      <c r="D24" s="1">
        <v>885</v>
      </c>
      <c r="E24" s="1" t="s">
        <v>62</v>
      </c>
      <c r="F24" s="1">
        <v>300</v>
      </c>
      <c r="G24" s="1">
        <v>18000</v>
      </c>
      <c r="H24" s="1">
        <v>0</v>
      </c>
      <c r="K24" s="1">
        <v>14</v>
      </c>
      <c r="L24" s="1">
        <v>7</v>
      </c>
      <c r="M24" s="1">
        <v>15</v>
      </c>
      <c r="N24" s="1">
        <v>23</v>
      </c>
      <c r="O24" s="1">
        <v>4</v>
      </c>
      <c r="P24" s="1">
        <v>16</v>
      </c>
      <c r="Q24" s="1">
        <v>0</v>
      </c>
      <c r="R24" s="1">
        <v>0</v>
      </c>
      <c r="S24" s="1">
        <v>0.7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15</v>
      </c>
      <c r="AB24" s="1">
        <v>7</v>
      </c>
    </row>
    <row r="25" spans="1:29">
      <c r="A25" s="1">
        <v>26</v>
      </c>
      <c r="C25" s="1" t="s">
        <v>50</v>
      </c>
      <c r="D25" s="1">
        <v>1300</v>
      </c>
      <c r="E25" s="1" t="s">
        <v>62</v>
      </c>
      <c r="F25" s="1">
        <v>200</v>
      </c>
      <c r="G25" s="1">
        <v>12000</v>
      </c>
      <c r="H25" s="1">
        <v>0</v>
      </c>
      <c r="K25" s="1">
        <v>14</v>
      </c>
      <c r="L25" s="1">
        <v>14</v>
      </c>
      <c r="M25" s="1">
        <v>30</v>
      </c>
      <c r="N25" s="1">
        <v>25</v>
      </c>
      <c r="O25" s="1">
        <v>6</v>
      </c>
      <c r="P25" s="1">
        <v>29</v>
      </c>
      <c r="Q25" s="1">
        <v>0</v>
      </c>
      <c r="R25" s="1">
        <v>0</v>
      </c>
      <c r="S25" s="1">
        <v>0.7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15</v>
      </c>
      <c r="AB25" s="1">
        <v>7</v>
      </c>
    </row>
    <row r="26" spans="1:29">
      <c r="A26" s="1">
        <v>27</v>
      </c>
      <c r="Q26" s="1">
        <v>0</v>
      </c>
      <c r="AA26" s="1">
        <v>15</v>
      </c>
      <c r="AB26" s="1">
        <v>7</v>
      </c>
    </row>
    <row r="27" spans="1:29">
      <c r="A27" s="1">
        <v>28</v>
      </c>
      <c r="C27" s="1" t="s">
        <v>63</v>
      </c>
      <c r="D27" s="1">
        <v>885</v>
      </c>
      <c r="E27" s="1" t="s">
        <v>62</v>
      </c>
      <c r="F27" s="1">
        <v>300</v>
      </c>
      <c r="G27" s="1">
        <v>18000</v>
      </c>
      <c r="H27" s="1">
        <v>0</v>
      </c>
      <c r="K27" s="1">
        <v>7</v>
      </c>
      <c r="L27" s="1">
        <v>14</v>
      </c>
      <c r="M27" s="1">
        <v>15</v>
      </c>
      <c r="N27" s="1">
        <v>22</v>
      </c>
      <c r="O27" s="1">
        <v>4</v>
      </c>
      <c r="P27" s="1">
        <v>18</v>
      </c>
      <c r="Q27" s="1">
        <v>0</v>
      </c>
      <c r="R27" s="1">
        <v>0</v>
      </c>
      <c r="S27" s="1">
        <v>0.7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15</v>
      </c>
      <c r="AB27" s="1">
        <v>7</v>
      </c>
      <c r="AC27" s="1" t="s">
        <v>52</v>
      </c>
    </row>
    <row r="28" spans="1:29">
      <c r="A28" s="1">
        <v>29</v>
      </c>
      <c r="C28" s="1" t="s">
        <v>53</v>
      </c>
      <c r="D28" s="1">
        <v>1000</v>
      </c>
      <c r="E28" s="1" t="s">
        <v>62</v>
      </c>
      <c r="F28" s="1">
        <v>300</v>
      </c>
      <c r="G28" s="1">
        <v>18000</v>
      </c>
      <c r="H28" s="1">
        <v>0</v>
      </c>
      <c r="K28" s="1">
        <v>8</v>
      </c>
      <c r="L28" s="1">
        <v>18</v>
      </c>
      <c r="M28" s="1">
        <v>20</v>
      </c>
      <c r="N28" s="1">
        <v>24</v>
      </c>
      <c r="O28" s="1">
        <v>4</v>
      </c>
      <c r="P28" s="1">
        <v>19</v>
      </c>
      <c r="Q28" s="1">
        <v>0</v>
      </c>
      <c r="R28" s="1">
        <v>0</v>
      </c>
      <c r="S28" s="1">
        <v>0.7</v>
      </c>
      <c r="T28" s="1">
        <v>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15</v>
      </c>
      <c r="AB28" s="1">
        <v>7</v>
      </c>
    </row>
    <row r="29" spans="1:29">
      <c r="A29" s="1">
        <v>30</v>
      </c>
      <c r="C29" s="1" t="s">
        <v>54</v>
      </c>
      <c r="D29" s="1">
        <v>1325</v>
      </c>
      <c r="E29" s="1" t="s">
        <v>62</v>
      </c>
      <c r="F29" s="1">
        <v>300</v>
      </c>
      <c r="G29" s="1">
        <v>18000</v>
      </c>
      <c r="H29" s="1">
        <v>0</v>
      </c>
      <c r="K29" s="1">
        <v>9</v>
      </c>
      <c r="L29" s="1">
        <v>20</v>
      </c>
      <c r="M29" s="1">
        <v>30</v>
      </c>
      <c r="N29" s="1">
        <v>26</v>
      </c>
      <c r="O29" s="1">
        <v>4</v>
      </c>
      <c r="P29" s="1">
        <v>21</v>
      </c>
      <c r="Q29" s="1">
        <v>0</v>
      </c>
      <c r="R29" s="1">
        <v>0</v>
      </c>
      <c r="S29" s="1">
        <v>0.7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15</v>
      </c>
      <c r="AB29" s="1">
        <v>7</v>
      </c>
    </row>
    <row r="30" spans="1:29">
      <c r="A30" s="1">
        <v>31</v>
      </c>
      <c r="C30" s="1" t="s">
        <v>55</v>
      </c>
      <c r="D30" s="1">
        <v>1225</v>
      </c>
      <c r="E30" s="1" t="s">
        <v>62</v>
      </c>
      <c r="F30" s="1">
        <v>200</v>
      </c>
      <c r="G30" s="1">
        <v>12000</v>
      </c>
      <c r="H30" s="1">
        <v>0</v>
      </c>
      <c r="K30" s="1">
        <v>9</v>
      </c>
      <c r="L30" s="1">
        <v>11</v>
      </c>
      <c r="M30" s="1">
        <v>30</v>
      </c>
      <c r="N30" s="1">
        <v>19</v>
      </c>
      <c r="O30" s="1">
        <v>14</v>
      </c>
      <c r="P30" s="1">
        <v>28</v>
      </c>
      <c r="Q30" s="1">
        <v>0</v>
      </c>
      <c r="R30" s="1">
        <v>2</v>
      </c>
      <c r="S30" s="1">
        <v>0.7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15</v>
      </c>
      <c r="AB30" s="1">
        <v>7</v>
      </c>
    </row>
    <row r="31" spans="1:29">
      <c r="A31" s="1">
        <v>32</v>
      </c>
      <c r="C31" s="1" t="s">
        <v>56</v>
      </c>
      <c r="D31" s="1">
        <v>1225</v>
      </c>
      <c r="E31" s="1" t="s">
        <v>62</v>
      </c>
      <c r="F31" s="1">
        <v>200</v>
      </c>
      <c r="G31" s="1">
        <v>12000</v>
      </c>
      <c r="H31" s="1">
        <v>0</v>
      </c>
      <c r="K31" s="1">
        <v>7</v>
      </c>
      <c r="L31" s="1">
        <v>18</v>
      </c>
      <c r="M31" s="1">
        <v>35</v>
      </c>
      <c r="N31" s="1">
        <v>22</v>
      </c>
      <c r="O31" s="1">
        <v>4</v>
      </c>
      <c r="P31" s="1">
        <v>18</v>
      </c>
      <c r="Q31" s="1">
        <v>0</v>
      </c>
      <c r="R31" s="1">
        <v>0</v>
      </c>
      <c r="S31" s="1">
        <v>0.7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15</v>
      </c>
      <c r="AB31" s="1">
        <v>7</v>
      </c>
    </row>
    <row r="32" spans="1:29">
      <c r="A32" s="1">
        <v>33</v>
      </c>
      <c r="C32" s="1" t="s">
        <v>106</v>
      </c>
      <c r="D32" s="1">
        <v>1060</v>
      </c>
      <c r="E32" s="1" t="s">
        <v>62</v>
      </c>
      <c r="F32" s="1">
        <v>175</v>
      </c>
      <c r="G32" s="1">
        <v>10500</v>
      </c>
      <c r="H32" s="1">
        <v>0</v>
      </c>
      <c r="I32" s="1" t="s">
        <v>97</v>
      </c>
      <c r="K32" s="1">
        <v>9</v>
      </c>
      <c r="L32" s="1">
        <v>11</v>
      </c>
      <c r="M32" s="1">
        <v>8</v>
      </c>
      <c r="N32" s="1">
        <v>19</v>
      </c>
      <c r="O32" s="1">
        <v>14</v>
      </c>
      <c r="P32" s="1">
        <v>28</v>
      </c>
      <c r="Q32" s="1">
        <v>0</v>
      </c>
      <c r="R32" s="1">
        <v>0</v>
      </c>
      <c r="S32" s="1">
        <v>0.7</v>
      </c>
      <c r="T32" s="1">
        <v>8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15</v>
      </c>
      <c r="AB32" s="1">
        <v>7</v>
      </c>
      <c r="AC32" s="1" t="s">
        <v>94</v>
      </c>
    </row>
    <row r="33" spans="1:29">
      <c r="A33" s="1">
        <v>34</v>
      </c>
      <c r="C33" s="1" t="s">
        <v>105</v>
      </c>
      <c r="D33" s="1">
        <v>1195</v>
      </c>
      <c r="E33" s="1" t="s">
        <v>62</v>
      </c>
      <c r="F33" s="1">
        <v>200</v>
      </c>
      <c r="G33" s="1">
        <v>12000</v>
      </c>
      <c r="H33" s="1">
        <v>0</v>
      </c>
      <c r="K33" s="1">
        <v>11</v>
      </c>
      <c r="L33" s="1">
        <v>12</v>
      </c>
      <c r="M33" s="1">
        <v>20</v>
      </c>
      <c r="N33" s="1">
        <v>20</v>
      </c>
      <c r="O33" s="1">
        <v>15</v>
      </c>
      <c r="P33" s="1">
        <v>30</v>
      </c>
      <c r="Q33" s="1">
        <v>0</v>
      </c>
      <c r="R33" s="1">
        <v>2</v>
      </c>
      <c r="S33" s="1">
        <v>0.7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15</v>
      </c>
      <c r="AB33" s="1">
        <v>7</v>
      </c>
      <c r="AC33" s="1" t="s">
        <v>58</v>
      </c>
    </row>
    <row r="34" spans="1:29">
      <c r="A34" s="1">
        <v>35</v>
      </c>
      <c r="C34" s="1" t="s">
        <v>59</v>
      </c>
      <c r="D34" s="1">
        <v>1650</v>
      </c>
      <c r="E34" s="1" t="s">
        <v>62</v>
      </c>
      <c r="F34" s="1">
        <v>200</v>
      </c>
      <c r="G34" s="1">
        <v>12000</v>
      </c>
      <c r="H34" s="1">
        <v>0</v>
      </c>
      <c r="K34" s="1">
        <v>14</v>
      </c>
      <c r="L34" s="1">
        <v>15</v>
      </c>
      <c r="M34" s="1">
        <v>38</v>
      </c>
      <c r="N34" s="1">
        <v>25</v>
      </c>
      <c r="O34" s="1">
        <v>6</v>
      </c>
      <c r="P34" s="1">
        <v>29</v>
      </c>
      <c r="Q34" s="1">
        <v>0</v>
      </c>
      <c r="R34" s="1">
        <v>0</v>
      </c>
      <c r="S34" s="1">
        <v>0.7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15</v>
      </c>
      <c r="AB34" s="1">
        <v>7</v>
      </c>
    </row>
    <row r="35" spans="1:29">
      <c r="A35" s="1">
        <v>36</v>
      </c>
      <c r="C35" s="1" t="s">
        <v>60</v>
      </c>
      <c r="D35" s="1">
        <v>1250</v>
      </c>
      <c r="E35" s="1" t="s">
        <v>62</v>
      </c>
      <c r="F35" s="1">
        <v>200</v>
      </c>
      <c r="G35" s="1">
        <v>12000</v>
      </c>
      <c r="H35" s="1">
        <v>0</v>
      </c>
      <c r="K35" s="1">
        <v>15</v>
      </c>
      <c r="L35" s="1">
        <v>11</v>
      </c>
      <c r="M35" s="1">
        <v>25</v>
      </c>
      <c r="N35" s="1">
        <v>25</v>
      </c>
      <c r="O35" s="1">
        <v>11</v>
      </c>
      <c r="P35" s="1">
        <v>33</v>
      </c>
      <c r="Q35" s="1">
        <v>0</v>
      </c>
      <c r="R35" s="1">
        <v>1</v>
      </c>
      <c r="S35" s="1">
        <v>0.7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15</v>
      </c>
      <c r="AB35" s="1">
        <v>7</v>
      </c>
    </row>
    <row r="36" spans="1:29">
      <c r="A36" s="1">
        <v>37</v>
      </c>
      <c r="C36" s="1" t="s">
        <v>61</v>
      </c>
      <c r="D36" s="1">
        <v>1375</v>
      </c>
      <c r="E36" s="1" t="s">
        <v>62</v>
      </c>
      <c r="F36" s="1">
        <v>200</v>
      </c>
      <c r="G36" s="1">
        <v>12000</v>
      </c>
      <c r="H36" s="1">
        <v>0</v>
      </c>
      <c r="K36" s="1">
        <v>17</v>
      </c>
      <c r="L36" s="1">
        <v>12</v>
      </c>
      <c r="M36" s="1">
        <v>25</v>
      </c>
      <c r="N36" s="1">
        <v>32</v>
      </c>
      <c r="O36" s="1">
        <v>2</v>
      </c>
      <c r="P36" s="1">
        <v>22</v>
      </c>
      <c r="Q36" s="1">
        <v>0</v>
      </c>
      <c r="R36" s="1">
        <v>1</v>
      </c>
      <c r="S36" s="1">
        <v>0.7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15</v>
      </c>
      <c r="AB36" s="1">
        <v>7</v>
      </c>
    </row>
    <row r="37" spans="1:29">
      <c r="A37" s="1">
        <v>38</v>
      </c>
      <c r="C37" s="1" t="s">
        <v>88</v>
      </c>
      <c r="D37" s="1">
        <v>500</v>
      </c>
      <c r="E37" s="1" t="s">
        <v>11</v>
      </c>
      <c r="F37" s="1">
        <v>300</v>
      </c>
      <c r="G37" s="1">
        <v>18000</v>
      </c>
      <c r="H37" s="1">
        <v>0</v>
      </c>
      <c r="K37" s="1">
        <v>7</v>
      </c>
      <c r="L37" s="1">
        <v>7</v>
      </c>
      <c r="M37" s="1">
        <v>8</v>
      </c>
      <c r="N37" s="1">
        <v>18</v>
      </c>
      <c r="O37" s="1">
        <v>13</v>
      </c>
      <c r="P37" s="1">
        <v>26</v>
      </c>
      <c r="Q37" s="1">
        <v>0</v>
      </c>
      <c r="R37" s="1">
        <v>1</v>
      </c>
      <c r="S37" s="1">
        <v>0.7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15</v>
      </c>
      <c r="AB37" s="1">
        <v>7</v>
      </c>
      <c r="AC37" s="1" t="s">
        <v>87</v>
      </c>
    </row>
    <row r="38" spans="1:29">
      <c r="A38" s="1">
        <v>39</v>
      </c>
      <c r="G38" s="1">
        <v>0</v>
      </c>
      <c r="H38" s="1">
        <v>0</v>
      </c>
      <c r="Q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15</v>
      </c>
      <c r="AB38" s="1">
        <v>7</v>
      </c>
    </row>
    <row r="39" spans="1:29">
      <c r="A39" s="1">
        <v>40</v>
      </c>
      <c r="G39" s="1">
        <v>0</v>
      </c>
      <c r="H39" s="1">
        <v>0</v>
      </c>
      <c r="Q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15</v>
      </c>
      <c r="AB39" s="1">
        <v>7</v>
      </c>
    </row>
    <row r="40" spans="1:29">
      <c r="A40" s="1">
        <v>41</v>
      </c>
      <c r="C40" s="1" t="s">
        <v>72</v>
      </c>
      <c r="D40" s="1">
        <v>1295</v>
      </c>
      <c r="E40" s="1" t="s">
        <v>62</v>
      </c>
      <c r="F40" s="1">
        <v>300</v>
      </c>
      <c r="G40" s="1">
        <v>18000</v>
      </c>
      <c r="H40" s="1">
        <v>0</v>
      </c>
      <c r="K40" s="1">
        <v>8</v>
      </c>
      <c r="L40" s="1">
        <v>19</v>
      </c>
      <c r="M40" s="1">
        <v>35</v>
      </c>
      <c r="N40" s="1">
        <v>24</v>
      </c>
      <c r="O40" s="1">
        <v>4</v>
      </c>
      <c r="P40" s="1">
        <v>19</v>
      </c>
      <c r="Q40" s="1">
        <v>0</v>
      </c>
      <c r="R40" s="1">
        <v>0</v>
      </c>
      <c r="S40" s="1">
        <v>0.7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15</v>
      </c>
      <c r="AB40" s="1">
        <v>7</v>
      </c>
      <c r="AC40" s="1" t="s">
        <v>51</v>
      </c>
    </row>
    <row r="41" spans="1:29">
      <c r="A41" s="1">
        <v>42</v>
      </c>
      <c r="C41" s="1" t="s">
        <v>67</v>
      </c>
      <c r="D41" s="1">
        <v>1500</v>
      </c>
      <c r="E41" s="1" t="s">
        <v>11</v>
      </c>
      <c r="F41" s="1">
        <v>200</v>
      </c>
      <c r="G41" s="1">
        <v>12000</v>
      </c>
      <c r="H41" s="1">
        <v>0</v>
      </c>
      <c r="K41" s="1">
        <v>11</v>
      </c>
      <c r="L41" s="1">
        <v>11</v>
      </c>
      <c r="M41" s="1">
        <v>38</v>
      </c>
      <c r="N41" s="1">
        <v>20</v>
      </c>
      <c r="O41" s="1">
        <v>15</v>
      </c>
      <c r="P41" s="1">
        <v>30</v>
      </c>
      <c r="Q41" s="1">
        <v>0</v>
      </c>
      <c r="R41" s="1">
        <v>2</v>
      </c>
      <c r="S41" s="1">
        <v>0.7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15</v>
      </c>
      <c r="AB41" s="1">
        <v>7</v>
      </c>
      <c r="AC41" s="1" t="s">
        <v>68</v>
      </c>
    </row>
    <row r="42" spans="1:29">
      <c r="A42" s="1">
        <v>43</v>
      </c>
      <c r="C42" s="1" t="s">
        <v>69</v>
      </c>
      <c r="D42" s="1">
        <v>1100</v>
      </c>
      <c r="E42" s="1" t="s">
        <v>11</v>
      </c>
      <c r="F42" s="1">
        <v>300</v>
      </c>
      <c r="G42" s="1">
        <v>18000</v>
      </c>
      <c r="H42" s="1">
        <v>0</v>
      </c>
      <c r="K42" s="1">
        <v>9</v>
      </c>
      <c r="L42" s="1">
        <v>8</v>
      </c>
      <c r="M42" s="1">
        <v>30</v>
      </c>
      <c r="N42" s="1">
        <v>19</v>
      </c>
      <c r="O42" s="1">
        <v>14</v>
      </c>
      <c r="P42" s="1">
        <v>28</v>
      </c>
      <c r="Q42" s="1">
        <v>0</v>
      </c>
      <c r="R42" s="1">
        <v>2</v>
      </c>
      <c r="S42" s="1">
        <v>0.7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15</v>
      </c>
      <c r="AB42" s="1">
        <v>7</v>
      </c>
      <c r="AC42" s="1" t="s">
        <v>70</v>
      </c>
    </row>
    <row r="43" spans="1:29">
      <c r="A43" s="1">
        <v>44</v>
      </c>
      <c r="C43" s="1" t="s">
        <v>45</v>
      </c>
      <c r="D43" s="1">
        <v>835</v>
      </c>
      <c r="E43" s="1" t="s">
        <v>62</v>
      </c>
      <c r="F43" s="1">
        <v>300</v>
      </c>
      <c r="G43" s="1">
        <v>18000</v>
      </c>
      <c r="H43" s="1">
        <v>0</v>
      </c>
      <c r="K43" s="1">
        <v>9</v>
      </c>
      <c r="L43" s="1">
        <v>14</v>
      </c>
      <c r="M43" s="1">
        <v>15</v>
      </c>
      <c r="N43" s="1">
        <v>23</v>
      </c>
      <c r="O43" s="1">
        <v>3</v>
      </c>
      <c r="P43" s="1">
        <v>13</v>
      </c>
      <c r="Q43" s="1">
        <v>0</v>
      </c>
      <c r="R43" s="1">
        <v>2</v>
      </c>
      <c r="S43" s="1">
        <v>0.7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15</v>
      </c>
      <c r="AB43" s="1">
        <v>7</v>
      </c>
      <c r="AC43" s="1" t="s">
        <v>71</v>
      </c>
    </row>
    <row r="44" spans="1:29">
      <c r="A44" s="1">
        <v>45</v>
      </c>
      <c r="G44" s="1">
        <v>0</v>
      </c>
      <c r="H44" s="1">
        <v>0</v>
      </c>
      <c r="Q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15</v>
      </c>
      <c r="AB44" s="1">
        <v>7</v>
      </c>
    </row>
    <row r="45" spans="1:29">
      <c r="A45" s="1">
        <v>46</v>
      </c>
      <c r="G45" s="1">
        <v>0</v>
      </c>
      <c r="H45" s="1">
        <v>0</v>
      </c>
      <c r="Q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15</v>
      </c>
      <c r="AB45" s="1">
        <v>7</v>
      </c>
    </row>
    <row r="46" spans="1:29">
      <c r="A46" s="1">
        <v>47</v>
      </c>
      <c r="G46" s="1">
        <v>0</v>
      </c>
      <c r="H46" s="1">
        <v>0</v>
      </c>
      <c r="Q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15</v>
      </c>
      <c r="AB46" s="1">
        <v>7</v>
      </c>
    </row>
    <row r="47" spans="1:29">
      <c r="A47" s="1">
        <v>48</v>
      </c>
      <c r="G47" s="1">
        <v>0</v>
      </c>
      <c r="H47" s="1">
        <v>0</v>
      </c>
      <c r="Q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15</v>
      </c>
      <c r="AB47" s="1">
        <v>7</v>
      </c>
    </row>
    <row r="48" spans="1:29">
      <c r="A48" s="1">
        <v>49</v>
      </c>
      <c r="G48" s="1">
        <v>0</v>
      </c>
      <c r="H48" s="1">
        <v>0</v>
      </c>
      <c r="Q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15</v>
      </c>
      <c r="AB48" s="1">
        <v>7</v>
      </c>
    </row>
    <row r="49" spans="1:29">
      <c r="A49" s="1">
        <v>50</v>
      </c>
      <c r="G49" s="1">
        <v>0</v>
      </c>
      <c r="H49" s="1">
        <v>0</v>
      </c>
      <c r="Q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15</v>
      </c>
      <c r="AB49" s="1">
        <v>7</v>
      </c>
    </row>
    <row r="50" spans="1:29">
      <c r="A50" s="1">
        <v>51</v>
      </c>
      <c r="G50" s="1">
        <v>0</v>
      </c>
      <c r="H50" s="1">
        <v>0</v>
      </c>
      <c r="Q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15</v>
      </c>
      <c r="AB50" s="1">
        <v>7</v>
      </c>
    </row>
    <row r="51" spans="1:29">
      <c r="A51" s="1">
        <v>52</v>
      </c>
      <c r="C51" s="1" t="s">
        <v>73</v>
      </c>
      <c r="D51" s="1">
        <v>1575</v>
      </c>
      <c r="E51" s="1" t="s">
        <v>11</v>
      </c>
      <c r="F51" s="1">
        <v>200</v>
      </c>
      <c r="G51" s="1">
        <v>12000</v>
      </c>
      <c r="H51" s="1">
        <v>0</v>
      </c>
      <c r="K51" s="1">
        <v>11</v>
      </c>
      <c r="L51" s="1">
        <v>18</v>
      </c>
      <c r="M51" s="1">
        <v>38</v>
      </c>
      <c r="N51" s="1">
        <v>27</v>
      </c>
      <c r="O51" s="1">
        <v>3</v>
      </c>
      <c r="P51" s="1">
        <v>16</v>
      </c>
      <c r="Q51" s="1">
        <v>0</v>
      </c>
      <c r="R51" s="1">
        <v>2</v>
      </c>
      <c r="S51" s="1">
        <v>0.7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15</v>
      </c>
      <c r="AB51" s="1">
        <v>7</v>
      </c>
      <c r="AC51" s="1" t="s">
        <v>74</v>
      </c>
    </row>
    <row r="52" spans="1:29">
      <c r="A52" s="1">
        <v>53</v>
      </c>
      <c r="C52" s="1" t="s">
        <v>75</v>
      </c>
      <c r="D52" s="1">
        <v>1475</v>
      </c>
      <c r="E52" s="1" t="s">
        <v>11</v>
      </c>
      <c r="F52" s="1">
        <v>200</v>
      </c>
      <c r="G52" s="1">
        <v>12000</v>
      </c>
      <c r="H52" s="1">
        <v>0</v>
      </c>
      <c r="K52" s="1">
        <v>13</v>
      </c>
      <c r="L52" s="1">
        <v>11</v>
      </c>
      <c r="M52" s="1">
        <v>35</v>
      </c>
      <c r="N52" s="1">
        <v>25</v>
      </c>
      <c r="O52" s="1">
        <v>7</v>
      </c>
      <c r="P52" s="1">
        <v>24</v>
      </c>
      <c r="Q52" s="1">
        <v>0</v>
      </c>
      <c r="R52" s="1">
        <v>2</v>
      </c>
      <c r="S52" s="1">
        <v>0.7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15</v>
      </c>
      <c r="AB52" s="1">
        <v>7</v>
      </c>
      <c r="AC52" s="1" t="s">
        <v>76</v>
      </c>
    </row>
    <row r="53" spans="1:29">
      <c r="A53" s="1">
        <v>54</v>
      </c>
      <c r="G53" s="1">
        <v>0</v>
      </c>
      <c r="H53" s="1">
        <v>0</v>
      </c>
      <c r="Q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15</v>
      </c>
      <c r="AB53" s="1">
        <v>7</v>
      </c>
    </row>
    <row r="54" spans="1:29">
      <c r="A54" s="1">
        <v>55</v>
      </c>
      <c r="G54" s="1">
        <v>0</v>
      </c>
      <c r="H54" s="1">
        <v>0</v>
      </c>
      <c r="Q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15</v>
      </c>
      <c r="AB54" s="1">
        <v>7</v>
      </c>
    </row>
    <row r="55" spans="1:29">
      <c r="A55" s="1">
        <v>56</v>
      </c>
      <c r="G55" s="1">
        <v>0</v>
      </c>
      <c r="H55" s="1">
        <v>0</v>
      </c>
      <c r="Q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15</v>
      </c>
      <c r="AB55" s="1">
        <v>7</v>
      </c>
    </row>
    <row r="56" spans="1:29">
      <c r="A56" s="1">
        <v>57</v>
      </c>
      <c r="G56" s="1">
        <v>0</v>
      </c>
      <c r="H56" s="1">
        <v>0</v>
      </c>
      <c r="Q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15</v>
      </c>
      <c r="AB56" s="1">
        <v>7</v>
      </c>
    </row>
    <row r="57" spans="1:29">
      <c r="A57" s="1">
        <v>58</v>
      </c>
      <c r="G57" s="1">
        <v>0</v>
      </c>
      <c r="H57" s="1">
        <v>0</v>
      </c>
      <c r="Q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15</v>
      </c>
      <c r="AB57" s="1">
        <v>7</v>
      </c>
    </row>
    <row r="58" spans="1:29">
      <c r="A58" s="1">
        <v>59</v>
      </c>
      <c r="G58" s="1">
        <v>0</v>
      </c>
      <c r="H58" s="1">
        <v>0</v>
      </c>
      <c r="Q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15</v>
      </c>
      <c r="AB58" s="1">
        <v>7</v>
      </c>
    </row>
    <row r="59" spans="1:29">
      <c r="A59" s="1">
        <v>60</v>
      </c>
      <c r="C59" s="1" t="s">
        <v>78</v>
      </c>
      <c r="D59" s="1">
        <v>1675</v>
      </c>
      <c r="E59" s="1" t="s">
        <v>11</v>
      </c>
      <c r="F59" s="1">
        <v>200</v>
      </c>
      <c r="G59" s="1">
        <v>12000</v>
      </c>
      <c r="H59" s="1">
        <v>0</v>
      </c>
      <c r="K59" s="1">
        <v>15</v>
      </c>
      <c r="L59" s="1">
        <v>12</v>
      </c>
      <c r="M59" s="1">
        <v>41</v>
      </c>
      <c r="N59" s="1">
        <v>30</v>
      </c>
      <c r="O59" s="1">
        <v>2</v>
      </c>
      <c r="P59" s="1">
        <v>21</v>
      </c>
      <c r="Q59" s="1">
        <v>0</v>
      </c>
      <c r="R59" s="1">
        <v>1</v>
      </c>
      <c r="S59" s="1">
        <v>0.7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15</v>
      </c>
      <c r="AB59" s="1">
        <v>7</v>
      </c>
      <c r="AC59" s="1" t="s">
        <v>77</v>
      </c>
    </row>
    <row r="60" spans="1:29">
      <c r="A60" s="1">
        <v>61</v>
      </c>
      <c r="G60" s="1">
        <v>0</v>
      </c>
      <c r="H60" s="1">
        <v>0</v>
      </c>
      <c r="Q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15</v>
      </c>
      <c r="AB60" s="1">
        <v>7</v>
      </c>
    </row>
    <row r="61" spans="1:29">
      <c r="A61" s="1">
        <v>62</v>
      </c>
      <c r="G61" s="1">
        <v>0</v>
      </c>
      <c r="H61" s="1">
        <v>0</v>
      </c>
      <c r="Q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15</v>
      </c>
      <c r="AB61" s="1">
        <v>7</v>
      </c>
    </row>
    <row r="62" spans="1:29">
      <c r="A62" s="1">
        <v>63</v>
      </c>
      <c r="G62" s="1">
        <v>0</v>
      </c>
      <c r="H62" s="1">
        <v>0</v>
      </c>
      <c r="Q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15</v>
      </c>
      <c r="AB62" s="1">
        <v>7</v>
      </c>
    </row>
    <row r="63" spans="1:29">
      <c r="A63" s="1">
        <v>64</v>
      </c>
      <c r="G63" s="1">
        <v>0</v>
      </c>
      <c r="H63" s="1">
        <v>0</v>
      </c>
      <c r="Q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15</v>
      </c>
      <c r="AB63" s="1">
        <v>7</v>
      </c>
    </row>
    <row r="64" spans="1:29">
      <c r="A64" s="1">
        <v>65</v>
      </c>
      <c r="C64" s="1" t="s">
        <v>79</v>
      </c>
      <c r="D64" s="1">
        <v>1500</v>
      </c>
      <c r="E64" s="1" t="s">
        <v>11</v>
      </c>
      <c r="F64" s="1">
        <v>200</v>
      </c>
      <c r="G64" s="1">
        <v>12000</v>
      </c>
      <c r="H64" s="1">
        <v>0</v>
      </c>
      <c r="K64" s="1">
        <v>17</v>
      </c>
      <c r="L64" s="1">
        <v>7</v>
      </c>
      <c r="M64" s="1">
        <v>38</v>
      </c>
      <c r="N64" s="1">
        <v>25</v>
      </c>
      <c r="O64" s="1">
        <v>13</v>
      </c>
      <c r="P64" s="1">
        <v>36</v>
      </c>
      <c r="Q64" s="1">
        <v>0</v>
      </c>
      <c r="R64" s="1">
        <v>1</v>
      </c>
      <c r="S64" s="1">
        <v>0.3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15</v>
      </c>
      <c r="AB64" s="1">
        <v>7</v>
      </c>
      <c r="AC64" s="1" t="s">
        <v>80</v>
      </c>
    </row>
    <row r="65" spans="1:28">
      <c r="A65" s="1">
        <v>66</v>
      </c>
      <c r="C65" s="1" t="s">
        <v>86</v>
      </c>
      <c r="D65" s="1">
        <v>1045</v>
      </c>
      <c r="E65" s="1" t="s">
        <v>11</v>
      </c>
      <c r="F65" s="1">
        <v>300</v>
      </c>
      <c r="G65" s="1">
        <v>18000</v>
      </c>
      <c r="H65" s="1">
        <v>0</v>
      </c>
      <c r="K65" s="1">
        <v>11</v>
      </c>
      <c r="L65" s="1">
        <v>10</v>
      </c>
      <c r="M65" s="1">
        <v>20</v>
      </c>
      <c r="N65" s="1">
        <v>23</v>
      </c>
      <c r="O65" s="1">
        <v>7</v>
      </c>
      <c r="P65" s="1">
        <v>22</v>
      </c>
      <c r="Q65" s="1">
        <v>0</v>
      </c>
      <c r="R65" s="1">
        <v>2</v>
      </c>
      <c r="S65" s="1">
        <v>0.7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15</v>
      </c>
      <c r="AB65" s="1">
        <v>7</v>
      </c>
    </row>
    <row r="66" spans="1:28">
      <c r="A66" s="1">
        <v>67</v>
      </c>
      <c r="G66" s="1">
        <f t="shared" ref="G66:G73" si="0">F66*60</f>
        <v>0</v>
      </c>
      <c r="H66" s="1">
        <v>0</v>
      </c>
      <c r="Q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15</v>
      </c>
      <c r="AB66" s="1">
        <v>7</v>
      </c>
    </row>
    <row r="67" spans="1:28">
      <c r="A67" s="1">
        <v>68</v>
      </c>
      <c r="G67" s="1">
        <f t="shared" si="0"/>
        <v>0</v>
      </c>
      <c r="H67" s="1">
        <v>0</v>
      </c>
      <c r="Q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15</v>
      </c>
      <c r="AB67" s="1">
        <v>7</v>
      </c>
    </row>
    <row r="68" spans="1:28">
      <c r="A68" s="1">
        <v>69</v>
      </c>
      <c r="G68" s="1">
        <f t="shared" si="0"/>
        <v>0</v>
      </c>
      <c r="H68" s="1">
        <v>0</v>
      </c>
      <c r="Q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15</v>
      </c>
      <c r="AB68" s="1">
        <v>7</v>
      </c>
    </row>
    <row r="69" spans="1:28">
      <c r="A69" s="1">
        <v>70</v>
      </c>
      <c r="G69" s="1">
        <f t="shared" si="0"/>
        <v>0</v>
      </c>
      <c r="H69" s="1">
        <v>0</v>
      </c>
      <c r="Q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15</v>
      </c>
      <c r="AB69" s="1">
        <v>7</v>
      </c>
    </row>
    <row r="70" spans="1:28">
      <c r="A70" s="1">
        <v>71</v>
      </c>
      <c r="C70" s="1" t="s">
        <v>81</v>
      </c>
      <c r="D70" s="1">
        <v>1825</v>
      </c>
      <c r="E70" s="1" t="s">
        <v>11</v>
      </c>
      <c r="F70" s="1">
        <v>200</v>
      </c>
      <c r="G70" s="1">
        <v>12000</v>
      </c>
      <c r="H70" s="1">
        <v>0</v>
      </c>
      <c r="K70" s="1">
        <v>11</v>
      </c>
      <c r="L70" s="1">
        <v>13</v>
      </c>
      <c r="M70" s="1">
        <v>43</v>
      </c>
      <c r="N70" s="1">
        <v>20</v>
      </c>
      <c r="O70" s="1">
        <v>15</v>
      </c>
      <c r="P70" s="1">
        <v>30</v>
      </c>
      <c r="Q70" s="1">
        <v>0</v>
      </c>
      <c r="R70" s="1">
        <v>2</v>
      </c>
      <c r="S70" s="1">
        <v>0.7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15</v>
      </c>
      <c r="AB70" s="1">
        <v>7</v>
      </c>
    </row>
    <row r="71" spans="1:28">
      <c r="A71" s="1">
        <v>72</v>
      </c>
      <c r="G71" s="1">
        <f t="shared" si="0"/>
        <v>0</v>
      </c>
      <c r="H71" s="1">
        <v>0</v>
      </c>
      <c r="Q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15</v>
      </c>
      <c r="AB71" s="1">
        <v>7</v>
      </c>
    </row>
    <row r="72" spans="1:28">
      <c r="A72" s="1">
        <v>73</v>
      </c>
      <c r="G72" s="1">
        <f t="shared" si="0"/>
        <v>0</v>
      </c>
      <c r="H72" s="1">
        <v>0</v>
      </c>
      <c r="Q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15</v>
      </c>
      <c r="AB72" s="1">
        <v>7</v>
      </c>
    </row>
    <row r="73" spans="1:28">
      <c r="A73" s="1">
        <v>74</v>
      </c>
      <c r="G73" s="1">
        <f t="shared" si="0"/>
        <v>0</v>
      </c>
      <c r="H73" s="1">
        <v>0</v>
      </c>
      <c r="Q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15</v>
      </c>
      <c r="AB73" s="1">
        <v>7</v>
      </c>
    </row>
    <row r="74" spans="1:28">
      <c r="A74" s="1">
        <v>75</v>
      </c>
      <c r="C74" s="1" t="s">
        <v>82</v>
      </c>
      <c r="D74" s="1">
        <v>1400</v>
      </c>
      <c r="E74" s="1" t="s">
        <v>11</v>
      </c>
      <c r="F74" s="1">
        <v>200</v>
      </c>
      <c r="G74" s="1">
        <v>12000</v>
      </c>
      <c r="H74" s="1">
        <v>0</v>
      </c>
      <c r="K74" s="1">
        <v>15</v>
      </c>
      <c r="L74" s="1">
        <v>11</v>
      </c>
      <c r="M74" s="1">
        <v>30</v>
      </c>
      <c r="N74" s="1">
        <v>25</v>
      </c>
      <c r="O74" s="1">
        <v>11</v>
      </c>
      <c r="P74" s="1">
        <v>33</v>
      </c>
      <c r="Q74" s="1">
        <v>0</v>
      </c>
      <c r="R74" s="1">
        <v>1</v>
      </c>
      <c r="S74" s="1">
        <v>0.7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15</v>
      </c>
      <c r="AB74" s="1">
        <v>7</v>
      </c>
    </row>
    <row r="75" spans="1:28">
      <c r="A75" s="1">
        <v>76</v>
      </c>
      <c r="H75" s="1">
        <v>0</v>
      </c>
      <c r="Q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15</v>
      </c>
      <c r="AB75" s="1">
        <v>7</v>
      </c>
    </row>
    <row r="76" spans="1:28">
      <c r="A76" s="1">
        <v>77</v>
      </c>
      <c r="H76" s="1">
        <v>0</v>
      </c>
      <c r="Q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15</v>
      </c>
      <c r="AB76" s="1">
        <v>7</v>
      </c>
    </row>
    <row r="77" spans="1:28">
      <c r="A77" s="1">
        <v>78</v>
      </c>
      <c r="H77" s="1">
        <v>0</v>
      </c>
      <c r="Q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15</v>
      </c>
      <c r="AB77" s="1">
        <v>7</v>
      </c>
    </row>
    <row r="78" spans="1:28">
      <c r="A78" s="1">
        <v>79</v>
      </c>
      <c r="C78" s="1" t="s">
        <v>83</v>
      </c>
      <c r="D78" s="1">
        <v>1225</v>
      </c>
      <c r="E78" s="1" t="s">
        <v>11</v>
      </c>
      <c r="F78" s="1">
        <v>200</v>
      </c>
      <c r="G78" s="1">
        <v>12000</v>
      </c>
      <c r="H78" s="1">
        <v>0</v>
      </c>
      <c r="K78" s="1">
        <v>9</v>
      </c>
      <c r="L78" s="1">
        <v>11</v>
      </c>
      <c r="M78" s="1">
        <v>30</v>
      </c>
      <c r="N78" s="1">
        <v>19</v>
      </c>
      <c r="O78" s="1">
        <v>14</v>
      </c>
      <c r="P78" s="1">
        <v>28</v>
      </c>
      <c r="Q78" s="1">
        <v>0</v>
      </c>
      <c r="R78" s="1">
        <v>2</v>
      </c>
      <c r="S78" s="1">
        <v>0.7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15</v>
      </c>
      <c r="AB78" s="1">
        <v>7</v>
      </c>
    </row>
    <row r="79" spans="1:28">
      <c r="A79" s="1">
        <v>80</v>
      </c>
      <c r="C79" s="1" t="s">
        <v>84</v>
      </c>
      <c r="D79" s="1">
        <v>1110</v>
      </c>
      <c r="E79" s="1" t="s">
        <v>11</v>
      </c>
      <c r="F79" s="1">
        <v>200</v>
      </c>
      <c r="G79" s="1">
        <v>12000</v>
      </c>
      <c r="H79" s="1">
        <v>0</v>
      </c>
      <c r="K79" s="1">
        <v>14</v>
      </c>
      <c r="L79" s="1">
        <v>15</v>
      </c>
      <c r="M79" s="1">
        <v>8</v>
      </c>
      <c r="N79" s="1">
        <v>25</v>
      </c>
      <c r="O79" s="1">
        <v>6</v>
      </c>
      <c r="P79" s="1">
        <v>29</v>
      </c>
      <c r="Q79" s="1">
        <v>0</v>
      </c>
      <c r="R79" s="1">
        <v>0</v>
      </c>
      <c r="S79" s="1">
        <v>0.7</v>
      </c>
      <c r="T79" s="1">
        <v>4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15</v>
      </c>
      <c r="AB79" s="1">
        <v>7</v>
      </c>
    </row>
    <row r="80" spans="1:28">
      <c r="A80" s="1">
        <v>81</v>
      </c>
      <c r="H80" s="1">
        <v>0</v>
      </c>
      <c r="Q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15</v>
      </c>
      <c r="AB80" s="1">
        <v>7</v>
      </c>
    </row>
    <row r="81" spans="1:29">
      <c r="A81" s="1">
        <v>82</v>
      </c>
      <c r="H81" s="1">
        <v>0</v>
      </c>
      <c r="Q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15</v>
      </c>
      <c r="AB81" s="1">
        <v>7</v>
      </c>
    </row>
    <row r="82" spans="1:29">
      <c r="A82" s="1">
        <v>83</v>
      </c>
      <c r="H82" s="1">
        <v>0</v>
      </c>
      <c r="Q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15</v>
      </c>
      <c r="AB82" s="1">
        <v>7</v>
      </c>
    </row>
    <row r="83" spans="1:29">
      <c r="A83" s="1">
        <v>84</v>
      </c>
      <c r="C83" s="1" t="s">
        <v>85</v>
      </c>
      <c r="D83" s="1">
        <v>1300</v>
      </c>
      <c r="E83" s="1" t="s">
        <v>11</v>
      </c>
      <c r="F83" s="1">
        <v>200</v>
      </c>
      <c r="G83" s="1">
        <v>12000</v>
      </c>
      <c r="H83" s="1">
        <v>0</v>
      </c>
      <c r="K83" s="1">
        <v>17</v>
      </c>
      <c r="L83" s="1">
        <v>20</v>
      </c>
      <c r="M83" s="1">
        <v>39</v>
      </c>
      <c r="N83" s="1">
        <v>24</v>
      </c>
      <c r="O83" s="1">
        <v>4</v>
      </c>
      <c r="P83" s="1">
        <v>18</v>
      </c>
      <c r="Q83" s="1">
        <v>0</v>
      </c>
      <c r="R83" s="1">
        <v>1</v>
      </c>
      <c r="S83" s="1">
        <v>0.7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15</v>
      </c>
      <c r="AB83" s="1">
        <v>7</v>
      </c>
    </row>
    <row r="84" spans="1:29">
      <c r="A84" s="1">
        <v>85</v>
      </c>
      <c r="C84" s="1" t="s">
        <v>89</v>
      </c>
      <c r="D84" s="1">
        <v>500</v>
      </c>
      <c r="E84" s="1" t="s">
        <v>11</v>
      </c>
      <c r="F84" s="1">
        <v>175</v>
      </c>
      <c r="H84" s="1">
        <v>0</v>
      </c>
      <c r="Q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15</v>
      </c>
      <c r="AB84" s="1">
        <v>7</v>
      </c>
    </row>
    <row r="85" spans="1:29">
      <c r="A85" s="1">
        <v>86</v>
      </c>
      <c r="C85" s="1" t="s">
        <v>98</v>
      </c>
      <c r="D85" s="1">
        <v>1500</v>
      </c>
      <c r="E85" s="1" t="s">
        <v>11</v>
      </c>
      <c r="F85" s="1">
        <v>175</v>
      </c>
      <c r="G85" s="1">
        <v>10500</v>
      </c>
      <c r="H85" s="1">
        <v>0</v>
      </c>
      <c r="K85" s="1">
        <v>11</v>
      </c>
      <c r="L85" s="1">
        <v>15</v>
      </c>
      <c r="M85" s="1">
        <v>35</v>
      </c>
      <c r="N85" s="1">
        <v>27</v>
      </c>
      <c r="O85" s="1">
        <v>3</v>
      </c>
      <c r="P85" s="1">
        <v>16</v>
      </c>
      <c r="Q85" s="1">
        <v>0</v>
      </c>
      <c r="R85" s="1">
        <v>0</v>
      </c>
      <c r="S85" s="1">
        <v>0.4</v>
      </c>
      <c r="T85" s="1">
        <v>6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15</v>
      </c>
      <c r="AB85" s="1">
        <v>8</v>
      </c>
      <c r="AC85" s="1" t="s">
        <v>99</v>
      </c>
    </row>
    <row r="86" spans="1:29">
      <c r="A86" s="1">
        <v>87</v>
      </c>
      <c r="Q86" s="1">
        <v>0</v>
      </c>
    </row>
    <row r="87" spans="1:29">
      <c r="A87" s="1">
        <v>88</v>
      </c>
      <c r="C87" s="1" t="s">
        <v>100</v>
      </c>
      <c r="D87" s="1">
        <v>1100</v>
      </c>
      <c r="E87" s="1" t="s">
        <v>11</v>
      </c>
      <c r="F87" s="1">
        <v>200</v>
      </c>
      <c r="G87" s="1">
        <v>12000</v>
      </c>
      <c r="H87" s="1">
        <v>0</v>
      </c>
      <c r="K87" s="1">
        <v>9</v>
      </c>
      <c r="L87" s="1">
        <v>10</v>
      </c>
      <c r="M87" s="1">
        <v>30</v>
      </c>
      <c r="N87" s="1">
        <v>19</v>
      </c>
      <c r="O87" s="1">
        <v>14</v>
      </c>
      <c r="P87" s="1">
        <v>28</v>
      </c>
      <c r="Q87" s="1">
        <v>0</v>
      </c>
      <c r="R87" s="1">
        <v>1</v>
      </c>
      <c r="S87" s="1">
        <v>0.5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13</v>
      </c>
      <c r="AB87" s="1">
        <v>2</v>
      </c>
      <c r="AC87" s="1" t="s">
        <v>102</v>
      </c>
    </row>
    <row r="88" spans="1:29">
      <c r="A88" s="1">
        <v>89</v>
      </c>
      <c r="C88" s="1" t="s">
        <v>101</v>
      </c>
      <c r="D88" s="1">
        <v>900</v>
      </c>
      <c r="E88" s="1" t="s">
        <v>11</v>
      </c>
      <c r="F88" s="1">
        <v>200</v>
      </c>
      <c r="G88" s="1">
        <v>12000</v>
      </c>
      <c r="H88" s="1">
        <v>0</v>
      </c>
      <c r="K88" s="1">
        <v>9</v>
      </c>
      <c r="L88" s="1">
        <v>9</v>
      </c>
      <c r="M88" s="1">
        <v>25</v>
      </c>
      <c r="N88" s="1">
        <v>21</v>
      </c>
      <c r="O88" s="1">
        <v>9</v>
      </c>
      <c r="P88" s="1">
        <v>20</v>
      </c>
      <c r="Q88" s="1">
        <v>0</v>
      </c>
      <c r="R88" s="1">
        <v>1</v>
      </c>
      <c r="S88" s="1">
        <v>0.5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13</v>
      </c>
      <c r="AB88" s="1">
        <v>2</v>
      </c>
      <c r="AC88" s="1" t="s">
        <v>103</v>
      </c>
    </row>
    <row r="89" spans="1:29">
      <c r="A89" s="1">
        <v>90</v>
      </c>
    </row>
    <row r="90" spans="1:29">
      <c r="A90" s="1">
        <v>91</v>
      </c>
    </row>
    <row r="91" spans="1:29">
      <c r="A91" s="1">
        <v>92</v>
      </c>
    </row>
    <row r="92" spans="1:29">
      <c r="A92" s="1">
        <v>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11" sqref="A11"/>
    </sheetView>
  </sheetViews>
  <sheetFormatPr defaultRowHeight="14.25"/>
  <cols>
    <col min="1" max="1" width="15.75" customWidth="1"/>
  </cols>
  <sheetData>
    <row r="1" spans="1:1">
      <c r="A1" t="s">
        <v>18</v>
      </c>
    </row>
    <row r="2" spans="1:1">
      <c r="A2" t="s">
        <v>20</v>
      </c>
    </row>
    <row r="3" spans="1:1">
      <c r="A3" t="s">
        <v>22</v>
      </c>
    </row>
    <row r="4" spans="1:1">
      <c r="A4" t="s">
        <v>24</v>
      </c>
    </row>
    <row r="5" spans="1:1">
      <c r="A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E44" sqref="E44"/>
    </sheetView>
  </sheetViews>
  <sheetFormatPr defaultRowHeight="14.25"/>
  <cols>
    <col min="1" max="1" width="34.75" customWidth="1"/>
  </cols>
  <sheetData>
    <row r="1" spans="1:14">
      <c r="A1" t="s">
        <v>27</v>
      </c>
      <c r="B1">
        <v>1000</v>
      </c>
      <c r="C1" t="s">
        <v>62</v>
      </c>
      <c r="D1">
        <v>300</v>
      </c>
      <c r="E1">
        <v>18000</v>
      </c>
      <c r="F1">
        <v>11</v>
      </c>
      <c r="G1">
        <v>9</v>
      </c>
      <c r="H1">
        <v>20</v>
      </c>
      <c r="I1">
        <v>19</v>
      </c>
      <c r="J1">
        <v>14</v>
      </c>
      <c r="K1">
        <v>15</v>
      </c>
      <c r="L1">
        <v>0</v>
      </c>
      <c r="M1">
        <v>0.7</v>
      </c>
      <c r="N1">
        <v>0</v>
      </c>
    </row>
    <row r="2" spans="1:14">
      <c r="A2" t="s">
        <v>28</v>
      </c>
      <c r="B2">
        <v>1000</v>
      </c>
      <c r="C2" t="s">
        <v>62</v>
      </c>
      <c r="D2">
        <v>200</v>
      </c>
      <c r="E2">
        <v>12000</v>
      </c>
      <c r="F2">
        <v>17</v>
      </c>
      <c r="G2">
        <v>5</v>
      </c>
      <c r="H2">
        <v>30</v>
      </c>
      <c r="I2">
        <v>25</v>
      </c>
      <c r="J2">
        <v>13</v>
      </c>
      <c r="K2">
        <v>36</v>
      </c>
      <c r="L2">
        <v>1</v>
      </c>
      <c r="M2">
        <v>0.7</v>
      </c>
      <c r="N2">
        <v>0</v>
      </c>
    </row>
    <row r="3" spans="1:14">
      <c r="A3" t="s">
        <v>29</v>
      </c>
      <c r="B3">
        <v>1500</v>
      </c>
      <c r="C3" t="s">
        <v>62</v>
      </c>
      <c r="D3">
        <v>200</v>
      </c>
      <c r="E3">
        <v>12000</v>
      </c>
      <c r="F3">
        <v>15</v>
      </c>
      <c r="G3">
        <v>12</v>
      </c>
      <c r="H3">
        <v>35</v>
      </c>
      <c r="I3">
        <v>30</v>
      </c>
      <c r="J3">
        <v>2</v>
      </c>
      <c r="K3">
        <v>21</v>
      </c>
      <c r="L3">
        <v>1</v>
      </c>
      <c r="M3">
        <v>0.7</v>
      </c>
      <c r="N3">
        <v>0</v>
      </c>
    </row>
    <row r="4" spans="1:14">
      <c r="A4" t="s">
        <v>30</v>
      </c>
      <c r="B4">
        <v>1000</v>
      </c>
      <c r="C4" t="s">
        <v>62</v>
      </c>
      <c r="D4">
        <v>300</v>
      </c>
      <c r="E4">
        <v>18000</v>
      </c>
      <c r="F4">
        <v>7</v>
      </c>
      <c r="G4">
        <v>9</v>
      </c>
      <c r="H4">
        <v>1</v>
      </c>
      <c r="I4">
        <v>18</v>
      </c>
      <c r="J4">
        <v>13</v>
      </c>
      <c r="K4">
        <v>26</v>
      </c>
      <c r="L4">
        <v>2</v>
      </c>
      <c r="M4">
        <v>0.7</v>
      </c>
      <c r="N4">
        <v>0</v>
      </c>
    </row>
    <row r="5" spans="1:14">
      <c r="A5" t="s">
        <v>31</v>
      </c>
      <c r="B5">
        <v>1000</v>
      </c>
      <c r="C5" t="s">
        <v>62</v>
      </c>
      <c r="D5">
        <v>300</v>
      </c>
      <c r="E5">
        <v>18000</v>
      </c>
      <c r="F5">
        <v>7</v>
      </c>
      <c r="G5">
        <v>17</v>
      </c>
      <c r="H5">
        <v>15</v>
      </c>
      <c r="I5">
        <v>22</v>
      </c>
      <c r="J5">
        <v>4</v>
      </c>
      <c r="K5">
        <v>18</v>
      </c>
      <c r="L5">
        <v>0</v>
      </c>
      <c r="M5">
        <v>0.7</v>
      </c>
      <c r="N5">
        <v>0</v>
      </c>
    </row>
    <row r="6" spans="1:14">
      <c r="A6" t="s">
        <v>32</v>
      </c>
      <c r="B6">
        <v>610</v>
      </c>
      <c r="C6" t="s">
        <v>62</v>
      </c>
      <c r="D6">
        <v>300</v>
      </c>
      <c r="E6">
        <v>18000</v>
      </c>
      <c r="F6">
        <v>14</v>
      </c>
      <c r="G6">
        <v>3</v>
      </c>
      <c r="H6">
        <v>8</v>
      </c>
      <c r="I6">
        <v>25</v>
      </c>
      <c r="J6">
        <v>9</v>
      </c>
      <c r="K6">
        <v>31</v>
      </c>
      <c r="L6">
        <v>1</v>
      </c>
      <c r="M6">
        <v>0</v>
      </c>
      <c r="N6">
        <v>0</v>
      </c>
    </row>
    <row r="7" spans="1:14">
      <c r="A7" t="s">
        <v>33</v>
      </c>
      <c r="B7">
        <v>895</v>
      </c>
      <c r="C7" t="s">
        <v>62</v>
      </c>
      <c r="D7">
        <v>300</v>
      </c>
      <c r="E7">
        <v>18000</v>
      </c>
      <c r="F7">
        <v>7</v>
      </c>
      <c r="G7">
        <v>17</v>
      </c>
      <c r="H7">
        <v>20</v>
      </c>
      <c r="I7">
        <v>22</v>
      </c>
      <c r="J7">
        <v>4</v>
      </c>
      <c r="K7">
        <v>18</v>
      </c>
      <c r="L7">
        <v>0</v>
      </c>
      <c r="M7">
        <v>0.7</v>
      </c>
      <c r="N7">
        <v>1</v>
      </c>
    </row>
    <row r="8" spans="1:14">
      <c r="A8" t="s">
        <v>34</v>
      </c>
      <c r="B8">
        <v>1000</v>
      </c>
      <c r="C8" t="s">
        <v>62</v>
      </c>
      <c r="D8">
        <v>300</v>
      </c>
      <c r="E8">
        <v>18000</v>
      </c>
      <c r="F8">
        <v>6</v>
      </c>
      <c r="G8">
        <v>12</v>
      </c>
      <c r="H8">
        <v>15</v>
      </c>
      <c r="I8">
        <v>20</v>
      </c>
      <c r="J8">
        <v>3</v>
      </c>
      <c r="K8">
        <v>16</v>
      </c>
      <c r="L8">
        <v>0</v>
      </c>
      <c r="M8">
        <v>0.7</v>
      </c>
      <c r="N8">
        <v>0</v>
      </c>
    </row>
    <row r="9" spans="1:14">
      <c r="A9" t="s">
        <v>35</v>
      </c>
      <c r="B9">
        <v>585</v>
      </c>
      <c r="C9" t="s">
        <v>62</v>
      </c>
      <c r="D9">
        <v>300</v>
      </c>
      <c r="E9">
        <v>18000</v>
      </c>
      <c r="F9">
        <v>8</v>
      </c>
      <c r="G9">
        <v>11</v>
      </c>
      <c r="H9">
        <v>8</v>
      </c>
      <c r="I9">
        <v>21</v>
      </c>
      <c r="J9">
        <v>2</v>
      </c>
      <c r="K9">
        <v>12</v>
      </c>
      <c r="L9">
        <v>2</v>
      </c>
      <c r="M9">
        <v>0.7</v>
      </c>
      <c r="N9">
        <v>4</v>
      </c>
    </row>
    <row r="10" spans="1:14">
      <c r="A10" t="s">
        <v>36</v>
      </c>
      <c r="B10">
        <v>1000</v>
      </c>
      <c r="C10" t="s">
        <v>62</v>
      </c>
      <c r="D10">
        <v>300</v>
      </c>
      <c r="E10">
        <v>18000</v>
      </c>
      <c r="F10">
        <v>9</v>
      </c>
      <c r="G10">
        <v>14</v>
      </c>
      <c r="H10">
        <v>8</v>
      </c>
      <c r="I10">
        <v>23</v>
      </c>
      <c r="J10">
        <v>3</v>
      </c>
      <c r="K10">
        <v>13</v>
      </c>
      <c r="L10">
        <v>2</v>
      </c>
      <c r="M10">
        <v>0.7</v>
      </c>
      <c r="N10">
        <v>0</v>
      </c>
    </row>
    <row r="11" spans="1:14">
      <c r="A11" t="s">
        <v>37</v>
      </c>
      <c r="B11">
        <v>1000</v>
      </c>
      <c r="C11" t="s">
        <v>62</v>
      </c>
      <c r="D11">
        <v>300</v>
      </c>
      <c r="E11">
        <v>18000</v>
      </c>
      <c r="F11">
        <v>9</v>
      </c>
      <c r="G11">
        <v>9</v>
      </c>
      <c r="H11">
        <v>10</v>
      </c>
      <c r="I11">
        <v>21</v>
      </c>
      <c r="J11">
        <v>7</v>
      </c>
      <c r="K11">
        <v>21</v>
      </c>
      <c r="L11">
        <v>2</v>
      </c>
      <c r="M11">
        <v>0.7</v>
      </c>
      <c r="N11">
        <v>0</v>
      </c>
    </row>
    <row r="12" spans="1:14">
      <c r="A12" t="s">
        <v>38</v>
      </c>
      <c r="B12">
        <v>910</v>
      </c>
      <c r="C12" t="s">
        <v>62</v>
      </c>
      <c r="D12">
        <v>300</v>
      </c>
      <c r="E12">
        <v>18000</v>
      </c>
      <c r="F12">
        <v>11</v>
      </c>
      <c r="G12">
        <v>9</v>
      </c>
      <c r="H12">
        <v>15</v>
      </c>
      <c r="I12">
        <v>23</v>
      </c>
      <c r="J12">
        <v>7</v>
      </c>
      <c r="K12">
        <v>22</v>
      </c>
      <c r="L12">
        <v>2</v>
      </c>
      <c r="M12">
        <v>0.7</v>
      </c>
      <c r="N12">
        <v>1</v>
      </c>
    </row>
    <row r="13" spans="1:14">
      <c r="A13" t="s">
        <v>39</v>
      </c>
      <c r="B13">
        <v>585</v>
      </c>
      <c r="C13" t="s">
        <v>62</v>
      </c>
      <c r="D13">
        <v>300</v>
      </c>
      <c r="E13">
        <v>18000</v>
      </c>
      <c r="F13">
        <v>7</v>
      </c>
      <c r="G13">
        <v>7</v>
      </c>
      <c r="H13">
        <v>8</v>
      </c>
      <c r="I13">
        <v>18</v>
      </c>
      <c r="J13">
        <v>3</v>
      </c>
      <c r="K13">
        <v>26</v>
      </c>
      <c r="L13">
        <v>2</v>
      </c>
      <c r="M13">
        <v>0.7</v>
      </c>
      <c r="N13">
        <v>0</v>
      </c>
    </row>
    <row r="14" spans="1:14">
      <c r="A14" t="s">
        <v>40</v>
      </c>
      <c r="B14">
        <v>835</v>
      </c>
      <c r="C14" t="s">
        <v>62</v>
      </c>
      <c r="D14">
        <v>200</v>
      </c>
      <c r="E14">
        <v>12000</v>
      </c>
      <c r="F14">
        <v>11</v>
      </c>
      <c r="G14">
        <v>9</v>
      </c>
      <c r="H14">
        <v>15</v>
      </c>
      <c r="I14">
        <v>23</v>
      </c>
      <c r="J14">
        <v>7</v>
      </c>
      <c r="K14">
        <v>22</v>
      </c>
      <c r="L14">
        <v>2</v>
      </c>
      <c r="M14">
        <v>0.7</v>
      </c>
      <c r="N14">
        <v>0</v>
      </c>
    </row>
    <row r="15" spans="1:14">
      <c r="A15" t="s">
        <v>41</v>
      </c>
      <c r="B15">
        <v>985</v>
      </c>
      <c r="C15" t="s">
        <v>62</v>
      </c>
      <c r="D15">
        <v>300</v>
      </c>
      <c r="E15">
        <v>18000</v>
      </c>
      <c r="F15">
        <v>11</v>
      </c>
      <c r="G15">
        <v>10</v>
      </c>
      <c r="H15">
        <v>15</v>
      </c>
      <c r="I15">
        <v>23</v>
      </c>
      <c r="J15">
        <v>7</v>
      </c>
      <c r="K15">
        <v>22</v>
      </c>
      <c r="L15">
        <v>2</v>
      </c>
      <c r="M15">
        <v>0.7</v>
      </c>
      <c r="N15">
        <v>0</v>
      </c>
    </row>
    <row r="16" spans="1:14">
      <c r="A16" t="s">
        <v>42</v>
      </c>
      <c r="B16">
        <v>675</v>
      </c>
      <c r="C16" t="s">
        <v>62</v>
      </c>
      <c r="D16">
        <v>300</v>
      </c>
      <c r="E16">
        <v>18000</v>
      </c>
      <c r="F16">
        <v>12</v>
      </c>
      <c r="G16">
        <v>6</v>
      </c>
      <c r="H16">
        <v>10</v>
      </c>
      <c r="I16">
        <v>23</v>
      </c>
      <c r="J16">
        <v>3</v>
      </c>
      <c r="K16">
        <v>15</v>
      </c>
      <c r="L16">
        <v>0</v>
      </c>
      <c r="M16">
        <v>0.7</v>
      </c>
      <c r="N16">
        <v>0</v>
      </c>
    </row>
    <row r="17" spans="1:14">
      <c r="A17" t="s">
        <v>43</v>
      </c>
      <c r="B17">
        <v>870</v>
      </c>
      <c r="C17" t="s">
        <v>62</v>
      </c>
      <c r="D17">
        <v>300</v>
      </c>
      <c r="E17">
        <v>18000</v>
      </c>
      <c r="F17">
        <v>7</v>
      </c>
      <c r="G17">
        <v>10</v>
      </c>
      <c r="H17">
        <v>20</v>
      </c>
      <c r="I17">
        <v>18</v>
      </c>
      <c r="J17">
        <v>13</v>
      </c>
      <c r="K17">
        <v>26</v>
      </c>
      <c r="L17">
        <v>2</v>
      </c>
      <c r="M17">
        <v>0.7</v>
      </c>
      <c r="N17">
        <v>0</v>
      </c>
    </row>
    <row r="18" spans="1:14">
      <c r="A18" t="s">
        <v>44</v>
      </c>
      <c r="B18">
        <v>1150</v>
      </c>
      <c r="C18" t="s">
        <v>62</v>
      </c>
      <c r="D18">
        <v>200</v>
      </c>
      <c r="E18">
        <v>12000</v>
      </c>
      <c r="F18">
        <v>9</v>
      </c>
      <c r="G18">
        <v>10</v>
      </c>
      <c r="H18">
        <v>30</v>
      </c>
      <c r="I18">
        <v>19</v>
      </c>
      <c r="J18">
        <v>14</v>
      </c>
      <c r="K18">
        <v>28</v>
      </c>
      <c r="L18">
        <v>2</v>
      </c>
      <c r="M18">
        <v>0.7</v>
      </c>
      <c r="N18">
        <v>0</v>
      </c>
    </row>
    <row r="19" spans="1:14">
      <c r="A19" t="s">
        <v>45</v>
      </c>
      <c r="B19">
        <v>835</v>
      </c>
      <c r="C19" t="s">
        <v>62</v>
      </c>
      <c r="D19">
        <v>300</v>
      </c>
      <c r="E19">
        <v>18000</v>
      </c>
      <c r="F19">
        <v>9</v>
      </c>
      <c r="G19">
        <v>14</v>
      </c>
      <c r="H19">
        <v>15</v>
      </c>
      <c r="I19">
        <v>23</v>
      </c>
      <c r="J19">
        <v>3</v>
      </c>
      <c r="K19">
        <v>13</v>
      </c>
      <c r="L19">
        <v>2</v>
      </c>
      <c r="M19">
        <v>0.7</v>
      </c>
      <c r="N19">
        <v>0</v>
      </c>
    </row>
    <row r="20" spans="1:14">
      <c r="A20" t="s">
        <v>46</v>
      </c>
      <c r="B20">
        <v>1075</v>
      </c>
      <c r="C20" t="s">
        <v>62</v>
      </c>
      <c r="D20">
        <v>300</v>
      </c>
      <c r="E20">
        <v>18000</v>
      </c>
      <c r="F20">
        <v>9</v>
      </c>
      <c r="G20">
        <v>14</v>
      </c>
      <c r="H20">
        <v>30</v>
      </c>
      <c r="I20">
        <v>23</v>
      </c>
      <c r="J20">
        <v>3</v>
      </c>
      <c r="K20">
        <v>13</v>
      </c>
      <c r="L20">
        <v>2</v>
      </c>
      <c r="M20">
        <v>0.7</v>
      </c>
      <c r="N20">
        <v>1</v>
      </c>
    </row>
    <row r="21" spans="1:14">
      <c r="A21" t="s">
        <v>47</v>
      </c>
      <c r="B21">
        <v>1075</v>
      </c>
      <c r="C21" t="s">
        <v>62</v>
      </c>
      <c r="D21">
        <v>300</v>
      </c>
      <c r="E21">
        <v>18000</v>
      </c>
      <c r="F21">
        <v>7</v>
      </c>
      <c r="G21">
        <v>17</v>
      </c>
      <c r="H21">
        <v>30</v>
      </c>
      <c r="I21">
        <v>22</v>
      </c>
      <c r="J21">
        <v>4</v>
      </c>
      <c r="K21">
        <v>18</v>
      </c>
      <c r="L21">
        <v>0</v>
      </c>
      <c r="M21">
        <v>0.7</v>
      </c>
      <c r="N21">
        <v>0</v>
      </c>
    </row>
    <row r="22" spans="1:14">
      <c r="A22" t="s">
        <v>48</v>
      </c>
      <c r="B22">
        <v>870</v>
      </c>
      <c r="C22" t="s">
        <v>62</v>
      </c>
      <c r="D22">
        <v>300</v>
      </c>
      <c r="E22">
        <v>18000</v>
      </c>
      <c r="F22">
        <v>9</v>
      </c>
      <c r="G22">
        <v>14</v>
      </c>
      <c r="H22">
        <v>20</v>
      </c>
      <c r="I22">
        <v>23</v>
      </c>
      <c r="J22">
        <v>3</v>
      </c>
      <c r="K22">
        <v>13</v>
      </c>
      <c r="L22">
        <v>2</v>
      </c>
      <c r="M22">
        <v>0.7</v>
      </c>
      <c r="N22">
        <v>0</v>
      </c>
    </row>
    <row r="23" spans="1:14">
      <c r="A23" t="s">
        <v>49</v>
      </c>
      <c r="B23">
        <v>885</v>
      </c>
      <c r="C23" t="s">
        <v>62</v>
      </c>
      <c r="D23">
        <v>300</v>
      </c>
      <c r="E23">
        <v>18000</v>
      </c>
      <c r="F23">
        <v>14</v>
      </c>
      <c r="G23">
        <v>7</v>
      </c>
      <c r="H23">
        <v>15</v>
      </c>
      <c r="I23">
        <v>23</v>
      </c>
      <c r="J23">
        <v>4</v>
      </c>
      <c r="K23">
        <v>16</v>
      </c>
      <c r="L23">
        <v>0</v>
      </c>
      <c r="M23">
        <v>0.7</v>
      </c>
      <c r="N23">
        <v>0</v>
      </c>
    </row>
    <row r="24" spans="1:14">
      <c r="A24" t="s">
        <v>50</v>
      </c>
      <c r="B24">
        <v>1300</v>
      </c>
      <c r="C24" t="s">
        <v>62</v>
      </c>
      <c r="D24">
        <v>200</v>
      </c>
      <c r="E24">
        <v>12000</v>
      </c>
      <c r="F24">
        <v>14</v>
      </c>
      <c r="G24">
        <v>14</v>
      </c>
      <c r="H24">
        <v>30</v>
      </c>
      <c r="I24">
        <v>25</v>
      </c>
      <c r="J24">
        <v>6</v>
      </c>
      <c r="K24">
        <v>29</v>
      </c>
      <c r="L24">
        <v>0</v>
      </c>
      <c r="M24">
        <v>0.7</v>
      </c>
      <c r="N24">
        <v>0</v>
      </c>
    </row>
    <row r="25" spans="1:14">
      <c r="A25" t="s">
        <v>51</v>
      </c>
      <c r="B25">
        <v>1295</v>
      </c>
      <c r="C25" t="s">
        <v>62</v>
      </c>
      <c r="D25">
        <v>300</v>
      </c>
      <c r="E25">
        <v>18000</v>
      </c>
      <c r="F25">
        <v>8</v>
      </c>
      <c r="G25">
        <v>19</v>
      </c>
      <c r="H25">
        <v>35</v>
      </c>
      <c r="I25">
        <v>24</v>
      </c>
      <c r="J25">
        <v>4</v>
      </c>
      <c r="K25">
        <v>19</v>
      </c>
      <c r="L25">
        <v>0</v>
      </c>
      <c r="M25">
        <v>0.7</v>
      </c>
      <c r="N25">
        <v>0</v>
      </c>
    </row>
    <row r="26" spans="1:14">
      <c r="A26" t="s">
        <v>52</v>
      </c>
      <c r="B26">
        <v>885</v>
      </c>
      <c r="C26" t="s">
        <v>62</v>
      </c>
      <c r="D26">
        <v>300</v>
      </c>
      <c r="E26">
        <v>18000</v>
      </c>
      <c r="F26">
        <v>7</v>
      </c>
      <c r="G26">
        <v>14</v>
      </c>
      <c r="H26">
        <v>15</v>
      </c>
      <c r="I26">
        <v>22</v>
      </c>
      <c r="J26">
        <v>4</v>
      </c>
      <c r="K26">
        <v>18</v>
      </c>
      <c r="L26">
        <v>0</v>
      </c>
      <c r="M26">
        <v>0.7</v>
      </c>
      <c r="N26">
        <v>0</v>
      </c>
    </row>
    <row r="27" spans="1:14">
      <c r="A27" t="s">
        <v>53</v>
      </c>
      <c r="B27">
        <v>1000</v>
      </c>
      <c r="C27" t="s">
        <v>62</v>
      </c>
      <c r="D27">
        <v>300</v>
      </c>
      <c r="E27">
        <v>18000</v>
      </c>
      <c r="F27">
        <v>8</v>
      </c>
      <c r="G27">
        <v>18</v>
      </c>
      <c r="H27">
        <v>20</v>
      </c>
      <c r="I27">
        <v>24</v>
      </c>
      <c r="J27">
        <v>4</v>
      </c>
      <c r="K27">
        <v>19</v>
      </c>
      <c r="L27">
        <v>0</v>
      </c>
      <c r="M27">
        <v>0.7</v>
      </c>
      <c r="N27">
        <v>8</v>
      </c>
    </row>
    <row r="28" spans="1:14">
      <c r="A28" t="s">
        <v>54</v>
      </c>
      <c r="B28">
        <v>1325</v>
      </c>
      <c r="C28" t="s">
        <v>62</v>
      </c>
      <c r="D28">
        <v>300</v>
      </c>
      <c r="E28">
        <v>18000</v>
      </c>
      <c r="F28">
        <v>9</v>
      </c>
      <c r="G28">
        <v>20</v>
      </c>
      <c r="H28">
        <v>30</v>
      </c>
      <c r="I28">
        <v>26</v>
      </c>
      <c r="J28">
        <v>4</v>
      </c>
      <c r="K28">
        <v>21</v>
      </c>
      <c r="L28">
        <v>0</v>
      </c>
      <c r="M28">
        <v>0.7</v>
      </c>
      <c r="N28">
        <v>0</v>
      </c>
    </row>
    <row r="29" spans="1:14">
      <c r="A29" t="s">
        <v>55</v>
      </c>
      <c r="B29">
        <v>1225</v>
      </c>
      <c r="C29" t="s">
        <v>62</v>
      </c>
      <c r="D29">
        <v>200</v>
      </c>
      <c r="E29">
        <v>12000</v>
      </c>
      <c r="F29">
        <v>9</v>
      </c>
      <c r="G29">
        <v>11</v>
      </c>
      <c r="H29">
        <v>30</v>
      </c>
      <c r="I29">
        <v>19</v>
      </c>
      <c r="J29">
        <v>14</v>
      </c>
      <c r="K29">
        <v>28</v>
      </c>
      <c r="L29">
        <v>2</v>
      </c>
      <c r="M29">
        <v>0.7</v>
      </c>
      <c r="N29">
        <v>0</v>
      </c>
    </row>
    <row r="30" spans="1:14">
      <c r="A30" t="s">
        <v>56</v>
      </c>
      <c r="B30">
        <v>1225</v>
      </c>
      <c r="C30" t="s">
        <v>62</v>
      </c>
      <c r="D30">
        <v>200</v>
      </c>
      <c r="E30">
        <v>12000</v>
      </c>
      <c r="F30">
        <v>7</v>
      </c>
      <c r="G30">
        <v>18</v>
      </c>
      <c r="H30">
        <v>35</v>
      </c>
      <c r="I30">
        <v>22</v>
      </c>
      <c r="J30">
        <v>4</v>
      </c>
      <c r="K30">
        <v>18</v>
      </c>
      <c r="L30">
        <v>0</v>
      </c>
      <c r="M30">
        <v>0.7</v>
      </c>
      <c r="N30">
        <v>0</v>
      </c>
    </row>
    <row r="31" spans="1:14">
      <c r="A31" t="s">
        <v>57</v>
      </c>
      <c r="B31">
        <v>1060</v>
      </c>
      <c r="C31" t="s">
        <v>62</v>
      </c>
      <c r="D31">
        <v>175</v>
      </c>
      <c r="E31">
        <v>10500</v>
      </c>
      <c r="F31">
        <v>9</v>
      </c>
      <c r="G31">
        <v>11</v>
      </c>
      <c r="H31">
        <v>8</v>
      </c>
      <c r="I31">
        <v>19</v>
      </c>
      <c r="J31">
        <v>14</v>
      </c>
      <c r="K31">
        <v>28</v>
      </c>
      <c r="L31">
        <v>0</v>
      </c>
      <c r="M31">
        <v>0.7</v>
      </c>
      <c r="N31">
        <v>0</v>
      </c>
    </row>
    <row r="32" spans="1:14">
      <c r="A32" t="s">
        <v>57</v>
      </c>
      <c r="B32">
        <v>1060</v>
      </c>
      <c r="C32" t="s">
        <v>62</v>
      </c>
      <c r="D32">
        <v>175</v>
      </c>
      <c r="E32">
        <v>10500</v>
      </c>
      <c r="F32">
        <v>9</v>
      </c>
      <c r="G32">
        <v>11</v>
      </c>
      <c r="H32">
        <v>8</v>
      </c>
      <c r="I32">
        <v>19</v>
      </c>
      <c r="J32">
        <v>14</v>
      </c>
      <c r="K32">
        <v>28</v>
      </c>
      <c r="L32">
        <v>0</v>
      </c>
      <c r="M32">
        <v>0.7</v>
      </c>
      <c r="N32">
        <v>6</v>
      </c>
    </row>
    <row r="33" spans="1:14">
      <c r="A33" t="s">
        <v>58</v>
      </c>
      <c r="B33">
        <v>1195</v>
      </c>
      <c r="C33" t="s">
        <v>62</v>
      </c>
      <c r="D33">
        <v>175</v>
      </c>
      <c r="E33">
        <v>12000</v>
      </c>
      <c r="F33">
        <v>11</v>
      </c>
      <c r="G33">
        <v>12</v>
      </c>
      <c r="H33">
        <v>20</v>
      </c>
      <c r="I33">
        <v>20</v>
      </c>
      <c r="J33">
        <v>15</v>
      </c>
      <c r="K33">
        <v>30</v>
      </c>
      <c r="L33">
        <v>2</v>
      </c>
      <c r="M33">
        <v>0.7</v>
      </c>
      <c r="N33">
        <v>0</v>
      </c>
    </row>
    <row r="34" spans="1:14">
      <c r="A34" t="s">
        <v>59</v>
      </c>
      <c r="B34">
        <v>1650</v>
      </c>
      <c r="C34" t="s">
        <v>62</v>
      </c>
      <c r="D34">
        <v>200</v>
      </c>
      <c r="E34">
        <v>12000</v>
      </c>
      <c r="F34">
        <v>14</v>
      </c>
      <c r="G34">
        <v>15</v>
      </c>
      <c r="H34">
        <v>38</v>
      </c>
      <c r="I34">
        <v>25</v>
      </c>
      <c r="J34">
        <v>6</v>
      </c>
      <c r="K34">
        <v>29</v>
      </c>
      <c r="L34">
        <v>0</v>
      </c>
      <c r="M34">
        <v>0.7</v>
      </c>
      <c r="N34">
        <v>0</v>
      </c>
    </row>
    <row r="35" spans="1:14">
      <c r="A35" t="s">
        <v>60</v>
      </c>
      <c r="B35">
        <v>1250</v>
      </c>
      <c r="C35" t="s">
        <v>62</v>
      </c>
      <c r="D35">
        <v>200</v>
      </c>
      <c r="E35">
        <v>12000</v>
      </c>
      <c r="F35">
        <v>15</v>
      </c>
      <c r="G35">
        <v>11</v>
      </c>
      <c r="H35">
        <v>25</v>
      </c>
      <c r="I35">
        <v>25</v>
      </c>
      <c r="J35">
        <v>11</v>
      </c>
      <c r="K35">
        <v>33</v>
      </c>
      <c r="L35">
        <v>1</v>
      </c>
      <c r="M35">
        <v>0.7</v>
      </c>
      <c r="N35">
        <v>0</v>
      </c>
    </row>
    <row r="36" spans="1:14">
      <c r="A36" t="s">
        <v>61</v>
      </c>
      <c r="B36">
        <v>1375</v>
      </c>
      <c r="C36" t="s">
        <v>62</v>
      </c>
      <c r="D36">
        <v>200</v>
      </c>
      <c r="E36">
        <v>12000</v>
      </c>
      <c r="F36">
        <v>17</v>
      </c>
      <c r="G36">
        <v>12</v>
      </c>
      <c r="H36">
        <v>25</v>
      </c>
      <c r="I36">
        <v>32</v>
      </c>
      <c r="J36">
        <v>2</v>
      </c>
      <c r="K36">
        <v>22</v>
      </c>
      <c r="L36">
        <v>1</v>
      </c>
      <c r="M36">
        <v>0.7</v>
      </c>
      <c r="N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PERKS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Szewczyk</dc:creator>
  <cp:lastModifiedBy>Michał Szewczyk</cp:lastModifiedBy>
  <dcterms:created xsi:type="dcterms:W3CDTF">2024-07-01T18:02:27Z</dcterms:created>
  <dcterms:modified xsi:type="dcterms:W3CDTF">2025-04-26T18:15:32Z</dcterms:modified>
</cp:coreProperties>
</file>